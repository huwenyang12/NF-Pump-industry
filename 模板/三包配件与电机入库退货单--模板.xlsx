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0752" windowHeight="9555" tabRatio="456"/>
  </bookViews>
  <sheets>
    <sheet name="售后三包出库 " sheetId="85" r:id="rId1"/>
  </sheets>
  <definedNames>
    <definedName name="_xlnm._FilterDatabase" localSheetId="0" hidden="1">'售后三包出库 '!$A$1:$M$28</definedName>
    <definedName name="_xlnm.Print_Area" localSheetId="0">'售后三包出库 '!$A$1:$M$29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ZSY</author>
  </authors>
  <commentList>
    <comment ref="C3" authorId="0">
      <text>
        <r>
          <rPr>
            <sz val="9"/>
            <rFont val="宋体"/>
            <charset val="134"/>
          </rPr>
          <t xml:space="preserve">双击物料号，文本 里的备注
</t>
        </r>
      </text>
    </comment>
    <comment ref="M3" authorId="0">
      <text>
        <r>
          <rPr>
            <sz val="9"/>
            <rFont val="宋体"/>
            <charset val="134"/>
          </rPr>
          <t>根据SAP里的选择</t>
        </r>
      </text>
    </comment>
  </commentList>
</comments>
</file>

<file path=xl/sharedStrings.xml><?xml version="1.0" encoding="utf-8"?>
<sst xmlns="http://schemas.openxmlformats.org/spreadsheetml/2006/main" count="133" uniqueCount="30">
  <si>
    <t>南方泵业股份有限公司售后三包配件/电机入库模板</t>
  </si>
  <si>
    <t>发件人：**  联系电话：0000-888888</t>
  </si>
  <si>
    <t>客户参考</t>
  </si>
  <si>
    <r>
      <rPr>
        <sz val="12"/>
        <rFont val="微软雅黑"/>
        <charset val="134"/>
      </rPr>
      <t>售达方：统一编码</t>
    </r>
    <r>
      <rPr>
        <sz val="12"/>
        <color rgb="FFFF0000"/>
        <rFont val="微软雅黑"/>
        <charset val="134"/>
      </rPr>
      <t>20091939</t>
    </r>
  </si>
  <si>
    <t>CRM号</t>
  </si>
  <si>
    <t>物料编码</t>
  </si>
  <si>
    <t>物料名称</t>
  </si>
  <si>
    <t>数量</t>
  </si>
  <si>
    <t>单 价</t>
  </si>
  <si>
    <t>金 额（三包填0元）</t>
  </si>
  <si>
    <t>销售办事处</t>
  </si>
  <si>
    <r>
      <rPr>
        <sz val="12"/>
        <rFont val="微软雅黑"/>
        <charset val="134"/>
      </rPr>
      <t>类别（三包内退货(退货不退票)的填</t>
    </r>
    <r>
      <rPr>
        <sz val="12"/>
        <color rgb="FFFF0000"/>
        <rFont val="微软雅黑"/>
        <charset val="134"/>
      </rPr>
      <t>ZRNN</t>
    </r>
    <r>
      <rPr>
        <sz val="12"/>
        <rFont val="微软雅黑"/>
        <charset val="134"/>
      </rPr>
      <t>）</t>
    </r>
  </si>
  <si>
    <t>工厂</t>
  </si>
  <si>
    <t>库位</t>
  </si>
  <si>
    <t>拒绝原因</t>
  </si>
  <si>
    <t>1月三包配件处置清单（测试用）</t>
  </si>
  <si>
    <t>386424（测试用）</t>
  </si>
  <si>
    <r>
      <rPr>
        <sz val="10"/>
        <rFont val="宋体"/>
        <charset val="134"/>
      </rPr>
      <t>泵轴</t>
    </r>
    <r>
      <rPr>
        <sz val="10"/>
        <rFont val="Arial"/>
        <charset val="134"/>
      </rPr>
      <t>|CDLK2A-00-02|304|26</t>
    </r>
    <r>
      <rPr>
        <sz val="10"/>
        <rFont val="宋体"/>
        <charset val="134"/>
      </rPr>
      <t>级</t>
    </r>
    <r>
      <rPr>
        <sz val="10"/>
        <rFont val="Arial"/>
        <charset val="134"/>
      </rPr>
      <t>|Φ12|</t>
    </r>
    <r>
      <rPr>
        <sz val="10"/>
        <rFont val="宋体"/>
        <charset val="134"/>
      </rPr>
      <t>高</t>
    </r>
    <r>
      <rPr>
        <sz val="10"/>
        <rFont val="Arial"/>
        <charset val="134"/>
      </rPr>
      <t>595</t>
    </r>
  </si>
  <si>
    <t>ZRNN</t>
  </si>
  <si>
    <t>质量问题</t>
  </si>
  <si>
    <t>支撑导叶|CDLK2-05-00C|LS30|抛光加厚|304</t>
  </si>
  <si>
    <t>使用问题</t>
  </si>
  <si>
    <t>合计：</t>
  </si>
  <si>
    <t>用户状态（签收）</t>
  </si>
  <si>
    <t>备注1：</t>
  </si>
  <si>
    <t>bb</t>
  </si>
  <si>
    <t>N</t>
  </si>
  <si>
    <t>备注2：</t>
  </si>
  <si>
    <t>aa</t>
  </si>
  <si>
    <t>发件人：**  联系电话：8888-8888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</si>
</sst>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</numFmts>
  <fonts count="33">
    <font>
      <sz val="11"/>
      <color theme="1"/>
      <name val="宋体"/>
      <charset val="134"/>
      <scheme val="minor"/>
    </font>
    <font>
      <sz val="12"/>
      <color theme="1"/>
      <name val="微软雅黑"/>
      <charset val="134"/>
    </font>
    <font>
      <sz val="12"/>
      <name val="微软雅黑"/>
      <charset val="134"/>
    </font>
    <font>
      <sz val="12"/>
      <color theme="1"/>
      <name val="宋体"/>
      <charset val="134"/>
      <scheme val="minor"/>
    </font>
    <font>
      <b/>
      <sz val="16"/>
      <name val="宋体"/>
      <charset val="134"/>
      <scheme val="minor"/>
    </font>
    <font>
      <b/>
      <sz val="12"/>
      <name val="宋体"/>
      <charset val="134"/>
      <scheme val="minor"/>
    </font>
    <font>
      <sz val="11"/>
      <name val="宋体"/>
      <charset val="134"/>
    </font>
    <font>
      <sz val="11"/>
      <name val="微软雅黑"/>
      <charset val="134"/>
    </font>
    <font>
      <sz val="10"/>
      <name val="Arial"/>
      <charset val="134"/>
    </font>
    <font>
      <sz val="10"/>
      <name val="宋体"/>
      <charset val="134"/>
    </font>
    <font>
      <sz val="11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indexed="8"/>
      <name val="宋体"/>
      <charset val="134"/>
    </font>
    <font>
      <sz val="12"/>
      <color rgb="FFFF0000"/>
      <name val="微软雅黑"/>
      <charset val="134"/>
    </font>
    <font>
      <sz val="9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0" fillId="2" borderId="3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3" borderId="6" applyNumberFormat="0" applyAlignment="0" applyProtection="0">
      <alignment vertical="center"/>
    </xf>
    <xf numFmtId="0" fontId="20" fillId="4" borderId="7" applyNumberFormat="0" applyAlignment="0" applyProtection="0">
      <alignment vertical="center"/>
    </xf>
    <xf numFmtId="0" fontId="21" fillId="4" borderId="6" applyNumberFormat="0" applyAlignment="0" applyProtection="0">
      <alignment vertical="center"/>
    </xf>
    <xf numFmtId="0" fontId="22" fillId="5" borderId="8" applyNumberFormat="0" applyAlignment="0" applyProtection="0">
      <alignment vertical="center"/>
    </xf>
    <xf numFmtId="0" fontId="23" fillId="0" borderId="9" applyNumberFormat="0" applyFill="0" applyAlignment="0" applyProtection="0">
      <alignment vertical="center"/>
    </xf>
    <xf numFmtId="0" fontId="24" fillId="0" borderId="10" applyNumberFormat="0" applyFill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6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30" fillId="0" borderId="0">
      <alignment vertical="center"/>
    </xf>
  </cellStyleXfs>
  <cellXfs count="23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0" borderId="0" xfId="0" applyFont="1">
      <alignment vertical="center"/>
    </xf>
    <xf numFmtId="0" fontId="3" fillId="0" borderId="0" xfId="0" applyFont="1" applyAlignment="1">
      <alignment horizontal="center" vertical="center"/>
    </xf>
    <xf numFmtId="0" fontId="3" fillId="0" borderId="0" xfId="0" applyFont="1">
      <alignment vertical="center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6" fillId="0" borderId="2" xfId="0" applyFont="1" applyFill="1" applyBorder="1" applyAlignment="1">
      <alignment vertical="center" wrapText="1"/>
    </xf>
    <xf numFmtId="0" fontId="7" fillId="0" borderId="1" xfId="0" applyFont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 vertical="center"/>
    </xf>
    <xf numFmtId="0" fontId="8" fillId="0" borderId="1" xfId="0" applyNumberFormat="1" applyFont="1" applyFill="1" applyBorder="1" applyAlignment="1">
      <alignment horizontal="center" vertical="center" wrapText="1"/>
    </xf>
    <xf numFmtId="0" fontId="9" fillId="0" borderId="1" xfId="0" applyFont="1" applyFill="1" applyBorder="1" applyAlignment="1">
      <alignment horizontal="center" vertical="center" wrapText="1"/>
    </xf>
    <xf numFmtId="0" fontId="8" fillId="0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10" fillId="0" borderId="2" xfId="0" applyFont="1" applyFill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76" fontId="2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0" fillId="0" borderId="0" xfId="0" applyAlignment="1">
      <alignment horizontal="center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4" xfId="49"/>
  </cellStyles>
  <tableStyles count="0" defaultTableStyle="TableStyleMedium2" defaultPivotStyle="PivotStyleLight16"/>
  <colors>
    <mruColors>
      <color rgb="00FF0000"/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M35"/>
  <sheetViews>
    <sheetView tabSelected="1" zoomScale="85" zoomScaleNormal="85" zoomScaleSheetLayoutView="70" workbookViewId="0">
      <pane ySplit="3" topLeftCell="A5" activePane="bottomLeft" state="frozen"/>
      <selection/>
      <selection pane="bottomLeft" activeCell="J8" sqref="J8"/>
    </sheetView>
  </sheetViews>
  <sheetFormatPr defaultColWidth="9" defaultRowHeight="30" customHeight="1"/>
  <cols>
    <col min="1" max="1" width="33.1858407079646" style="4" customWidth="1"/>
    <col min="2" max="2" width="14.6371681415929" style="4" customWidth="1"/>
    <col min="3" max="3" width="29.4513274336283" style="5" customWidth="1"/>
    <col min="4" max="4" width="13.8141592920354" style="5" customWidth="1"/>
    <col min="5" max="5" width="15.4336283185841" style="4" customWidth="1"/>
    <col min="6" max="6" width="7.20353982300885" style="5" customWidth="1"/>
    <col min="7" max="7" width="8.52212389380531" style="5" customWidth="1"/>
    <col min="8" max="8" width="10.4424778761062" style="5" customWidth="1"/>
    <col min="9" max="9" width="12.646017699115" style="5" customWidth="1"/>
    <col min="10" max="10" width="15.141592920354" style="5" customWidth="1"/>
    <col min="11" max="12" width="10.4336283185841" style="5" customWidth="1"/>
    <col min="13" max="13" width="12.646017699115" style="5" customWidth="1"/>
    <col min="14" max="14" width="23.5663716814159" style="5" customWidth="1"/>
    <col min="15" max="16384" width="9" style="5"/>
  </cols>
  <sheetData>
    <row r="1" ht="49" customHeight="1" spans="1:13">
      <c r="A1" s="6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</row>
    <row r="2" ht="49" customHeight="1" spans="1:13">
      <c r="A2" s="7" t="s">
        <v>1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</row>
    <row r="3" s="1" customFormat="1" ht="66" customHeight="1" spans="1:13">
      <c r="A3" s="8" t="s">
        <v>2</v>
      </c>
      <c r="B3" s="8" t="s">
        <v>3</v>
      </c>
      <c r="C3" s="8" t="s">
        <v>4</v>
      </c>
      <c r="D3" s="9" t="s">
        <v>5</v>
      </c>
      <c r="E3" s="9" t="s">
        <v>6</v>
      </c>
      <c r="F3" s="9" t="s">
        <v>7</v>
      </c>
      <c r="G3" s="9" t="s">
        <v>8</v>
      </c>
      <c r="H3" s="8" t="s">
        <v>9</v>
      </c>
      <c r="I3" s="8" t="s">
        <v>10</v>
      </c>
      <c r="J3" s="8" t="s">
        <v>11</v>
      </c>
      <c r="K3" s="8" t="s">
        <v>12</v>
      </c>
      <c r="L3" s="8" t="s">
        <v>13</v>
      </c>
      <c r="M3" s="8" t="s">
        <v>14</v>
      </c>
    </row>
    <row r="4" s="2" customFormat="1" ht="33" customHeight="1" spans="1:13">
      <c r="A4" s="10" t="s">
        <v>15</v>
      </c>
      <c r="B4" s="11">
        <v>20091939</v>
      </c>
      <c r="C4" s="12" t="s">
        <v>16</v>
      </c>
      <c r="D4" s="13">
        <v>1400007796</v>
      </c>
      <c r="E4" s="14" t="s">
        <v>17</v>
      </c>
      <c r="F4" s="15">
        <v>1</v>
      </c>
      <c r="G4" s="16">
        <v>0</v>
      </c>
      <c r="H4" s="16">
        <f>F4*G4</f>
        <v>0</v>
      </c>
      <c r="I4" s="16">
        <v>1000</v>
      </c>
      <c r="J4" s="16" t="s">
        <v>18</v>
      </c>
      <c r="K4" s="16">
        <v>1072</v>
      </c>
      <c r="L4" s="16">
        <v>5101</v>
      </c>
      <c r="M4" s="16" t="s">
        <v>19</v>
      </c>
    </row>
    <row r="5" s="2" customFormat="1" ht="33" customHeight="1" spans="1:13">
      <c r="A5" s="10" t="s">
        <v>15</v>
      </c>
      <c r="B5" s="11">
        <v>20091939</v>
      </c>
      <c r="C5" s="12" t="s">
        <v>16</v>
      </c>
      <c r="D5" s="13">
        <v>1400006330</v>
      </c>
      <c r="E5" s="14" t="s">
        <v>20</v>
      </c>
      <c r="F5" s="14">
        <v>3</v>
      </c>
      <c r="G5" s="16">
        <v>0</v>
      </c>
      <c r="H5" s="16">
        <f>F5*G5</f>
        <v>0</v>
      </c>
      <c r="I5" s="16">
        <v>1000</v>
      </c>
      <c r="J5" s="16" t="s">
        <v>18</v>
      </c>
      <c r="K5" s="16">
        <v>1072</v>
      </c>
      <c r="L5" s="16">
        <v>5101</v>
      </c>
      <c r="M5" s="16" t="s">
        <v>21</v>
      </c>
    </row>
    <row r="6" s="1" customFormat="1" ht="33" customHeight="1" spans="1:13">
      <c r="A6" s="10" t="s">
        <v>15</v>
      </c>
      <c r="B6" s="11">
        <v>20091939</v>
      </c>
      <c r="C6" s="12" t="s">
        <v>16</v>
      </c>
      <c r="D6" s="13">
        <v>1400006330</v>
      </c>
      <c r="E6" s="14" t="s">
        <v>20</v>
      </c>
      <c r="F6" s="14">
        <v>3</v>
      </c>
      <c r="G6" s="16">
        <v>0</v>
      </c>
      <c r="H6" s="16">
        <f t="shared" ref="H6:H25" si="0">F6*G6</f>
        <v>0</v>
      </c>
      <c r="I6" s="16">
        <v>1000</v>
      </c>
      <c r="J6" s="16" t="s">
        <v>18</v>
      </c>
      <c r="K6" s="16">
        <v>1072</v>
      </c>
      <c r="L6" s="16">
        <v>5101</v>
      </c>
      <c r="M6" s="16" t="s">
        <v>21</v>
      </c>
    </row>
    <row r="7" s="1" customFormat="1" ht="33" customHeight="1" spans="1:13">
      <c r="A7" s="10" t="s">
        <v>15</v>
      </c>
      <c r="B7" s="11">
        <v>20091939</v>
      </c>
      <c r="C7" s="12" t="s">
        <v>16</v>
      </c>
      <c r="D7" s="13">
        <v>1400006330</v>
      </c>
      <c r="E7" s="14" t="s">
        <v>20</v>
      </c>
      <c r="F7" s="14">
        <v>3</v>
      </c>
      <c r="G7" s="16">
        <v>0</v>
      </c>
      <c r="H7" s="16">
        <f t="shared" si="0"/>
        <v>0</v>
      </c>
      <c r="I7" s="16">
        <v>1000</v>
      </c>
      <c r="J7" s="16" t="s">
        <v>18</v>
      </c>
      <c r="K7" s="16">
        <v>1072</v>
      </c>
      <c r="L7" s="16">
        <v>5101</v>
      </c>
      <c r="M7" s="16" t="s">
        <v>21</v>
      </c>
    </row>
    <row r="8" s="1" customFormat="1" ht="33" customHeight="1" spans="1:13">
      <c r="A8" s="10" t="s">
        <v>15</v>
      </c>
      <c r="B8" s="11">
        <v>20091939</v>
      </c>
      <c r="C8" s="12" t="s">
        <v>16</v>
      </c>
      <c r="D8" s="13">
        <v>1400006330</v>
      </c>
      <c r="E8" s="14" t="s">
        <v>20</v>
      </c>
      <c r="F8" s="14">
        <v>3</v>
      </c>
      <c r="G8" s="16">
        <v>0</v>
      </c>
      <c r="H8" s="16">
        <f t="shared" si="0"/>
        <v>0</v>
      </c>
      <c r="I8" s="16">
        <v>1000</v>
      </c>
      <c r="J8" s="16" t="s">
        <v>18</v>
      </c>
      <c r="K8" s="16">
        <v>1072</v>
      </c>
      <c r="L8" s="16">
        <v>5101</v>
      </c>
      <c r="M8" s="16" t="s">
        <v>21</v>
      </c>
    </row>
    <row r="9" s="1" customFormat="1" ht="33" customHeight="1" spans="1:13">
      <c r="A9" s="10" t="s">
        <v>15</v>
      </c>
      <c r="B9" s="11">
        <v>20091939</v>
      </c>
      <c r="C9" s="12" t="s">
        <v>16</v>
      </c>
      <c r="D9" s="13">
        <v>1400006330</v>
      </c>
      <c r="E9" s="14" t="s">
        <v>20</v>
      </c>
      <c r="F9" s="14">
        <v>3</v>
      </c>
      <c r="G9" s="16">
        <v>0</v>
      </c>
      <c r="H9" s="16">
        <f t="shared" si="0"/>
        <v>0</v>
      </c>
      <c r="I9" s="16">
        <v>1000</v>
      </c>
      <c r="J9" s="16" t="s">
        <v>18</v>
      </c>
      <c r="K9" s="16">
        <v>1072</v>
      </c>
      <c r="L9" s="16">
        <v>5101</v>
      </c>
      <c r="M9" s="16" t="s">
        <v>21</v>
      </c>
    </row>
    <row r="10" s="1" customFormat="1" ht="33" customHeight="1" spans="1:13">
      <c r="A10" s="10" t="s">
        <v>15</v>
      </c>
      <c r="B10" s="11">
        <v>20091939</v>
      </c>
      <c r="C10" s="12" t="s">
        <v>16</v>
      </c>
      <c r="D10" s="13">
        <v>1400006330</v>
      </c>
      <c r="E10" s="14" t="s">
        <v>20</v>
      </c>
      <c r="F10" s="14">
        <v>3</v>
      </c>
      <c r="G10" s="16">
        <v>0</v>
      </c>
      <c r="H10" s="16">
        <f t="shared" si="0"/>
        <v>0</v>
      </c>
      <c r="I10" s="16">
        <v>1000</v>
      </c>
      <c r="J10" s="16" t="s">
        <v>18</v>
      </c>
      <c r="K10" s="16">
        <v>1072</v>
      </c>
      <c r="L10" s="16">
        <v>5101</v>
      </c>
      <c r="M10" s="16" t="s">
        <v>21</v>
      </c>
    </row>
    <row r="11" s="1" customFormat="1" ht="33" customHeight="1" spans="1:13">
      <c r="A11" s="10" t="s">
        <v>15</v>
      </c>
      <c r="B11" s="11">
        <v>20091939</v>
      </c>
      <c r="C11" s="12" t="s">
        <v>16</v>
      </c>
      <c r="D11" s="13">
        <v>1400006330</v>
      </c>
      <c r="E11" s="14" t="s">
        <v>20</v>
      </c>
      <c r="F11" s="14">
        <v>3</v>
      </c>
      <c r="G11" s="16">
        <v>0</v>
      </c>
      <c r="H11" s="16">
        <f t="shared" si="0"/>
        <v>0</v>
      </c>
      <c r="I11" s="16">
        <v>1000</v>
      </c>
      <c r="J11" s="16" t="s">
        <v>18</v>
      </c>
      <c r="K11" s="16">
        <v>1072</v>
      </c>
      <c r="L11" s="16">
        <v>5101</v>
      </c>
      <c r="M11" s="16" t="s">
        <v>21</v>
      </c>
    </row>
    <row r="12" s="1" customFormat="1" ht="33" customHeight="1" spans="1:13">
      <c r="A12" s="10" t="s">
        <v>15</v>
      </c>
      <c r="B12" s="11">
        <v>20091939</v>
      </c>
      <c r="C12" s="12" t="s">
        <v>16</v>
      </c>
      <c r="D12" s="13">
        <v>1400006330</v>
      </c>
      <c r="E12" s="14" t="s">
        <v>20</v>
      </c>
      <c r="F12" s="14">
        <v>3</v>
      </c>
      <c r="G12" s="16">
        <v>0</v>
      </c>
      <c r="H12" s="16">
        <f t="shared" si="0"/>
        <v>0</v>
      </c>
      <c r="I12" s="16">
        <v>1000</v>
      </c>
      <c r="J12" s="16" t="s">
        <v>18</v>
      </c>
      <c r="K12" s="16">
        <v>1072</v>
      </c>
      <c r="L12" s="16">
        <v>5101</v>
      </c>
      <c r="M12" s="16" t="s">
        <v>21</v>
      </c>
    </row>
    <row r="13" s="1" customFormat="1" ht="33" customHeight="1" spans="1:13">
      <c r="A13" s="10" t="s">
        <v>15</v>
      </c>
      <c r="B13" s="11">
        <v>20091939</v>
      </c>
      <c r="C13" s="12" t="s">
        <v>16</v>
      </c>
      <c r="D13" s="13">
        <v>1400006330</v>
      </c>
      <c r="E13" s="14" t="s">
        <v>20</v>
      </c>
      <c r="F13" s="14">
        <v>3</v>
      </c>
      <c r="G13" s="16">
        <v>0</v>
      </c>
      <c r="H13" s="16">
        <f t="shared" si="0"/>
        <v>0</v>
      </c>
      <c r="I13" s="16">
        <v>1000</v>
      </c>
      <c r="J13" s="16" t="s">
        <v>18</v>
      </c>
      <c r="K13" s="16">
        <v>1072</v>
      </c>
      <c r="L13" s="16">
        <v>5101</v>
      </c>
      <c r="M13" s="16" t="s">
        <v>21</v>
      </c>
    </row>
    <row r="14" s="1" customFormat="1" ht="33" customHeight="1" spans="1:13">
      <c r="A14" s="10" t="s">
        <v>15</v>
      </c>
      <c r="B14" s="11">
        <v>20091939</v>
      </c>
      <c r="C14" s="12" t="s">
        <v>16</v>
      </c>
      <c r="D14" s="13">
        <v>1400006330</v>
      </c>
      <c r="E14" s="14" t="s">
        <v>20</v>
      </c>
      <c r="F14" s="14">
        <v>3</v>
      </c>
      <c r="G14" s="16">
        <v>0</v>
      </c>
      <c r="H14" s="16">
        <f t="shared" si="0"/>
        <v>0</v>
      </c>
      <c r="I14" s="16">
        <v>1000</v>
      </c>
      <c r="J14" s="16" t="s">
        <v>18</v>
      </c>
      <c r="K14" s="16">
        <v>1072</v>
      </c>
      <c r="L14" s="16">
        <v>5101</v>
      </c>
      <c r="M14" s="16" t="s">
        <v>21</v>
      </c>
    </row>
    <row r="15" s="1" customFormat="1" ht="33" customHeight="1" spans="1:13">
      <c r="A15" s="10" t="s">
        <v>15</v>
      </c>
      <c r="B15" s="11">
        <v>20091939</v>
      </c>
      <c r="C15" s="12" t="s">
        <v>16</v>
      </c>
      <c r="D15" s="13">
        <v>1400006330</v>
      </c>
      <c r="E15" s="14" t="s">
        <v>20</v>
      </c>
      <c r="F15" s="14">
        <v>3</v>
      </c>
      <c r="G15" s="16">
        <v>0</v>
      </c>
      <c r="H15" s="16">
        <f t="shared" si="0"/>
        <v>0</v>
      </c>
      <c r="I15" s="16">
        <v>1000</v>
      </c>
      <c r="J15" s="16" t="s">
        <v>18</v>
      </c>
      <c r="K15" s="16">
        <v>1072</v>
      </c>
      <c r="L15" s="16">
        <v>5101</v>
      </c>
      <c r="M15" s="16" t="s">
        <v>21</v>
      </c>
    </row>
    <row r="16" s="1" customFormat="1" ht="33" customHeight="1" spans="1:13">
      <c r="A16" s="10" t="s">
        <v>15</v>
      </c>
      <c r="B16" s="11">
        <v>20091939</v>
      </c>
      <c r="C16" s="12" t="s">
        <v>16</v>
      </c>
      <c r="D16" s="13">
        <v>1400006330</v>
      </c>
      <c r="E16" s="14" t="s">
        <v>20</v>
      </c>
      <c r="F16" s="14">
        <v>3</v>
      </c>
      <c r="G16" s="16">
        <v>0</v>
      </c>
      <c r="H16" s="16">
        <f t="shared" si="0"/>
        <v>0</v>
      </c>
      <c r="I16" s="16">
        <v>1000</v>
      </c>
      <c r="J16" s="16" t="s">
        <v>18</v>
      </c>
      <c r="K16" s="16">
        <v>1072</v>
      </c>
      <c r="L16" s="16">
        <v>5101</v>
      </c>
      <c r="M16" s="16" t="s">
        <v>21</v>
      </c>
    </row>
    <row r="17" s="1" customFormat="1" ht="33" customHeight="1" spans="1:13">
      <c r="A17" s="10" t="s">
        <v>15</v>
      </c>
      <c r="B17" s="11">
        <v>20091939</v>
      </c>
      <c r="C17" s="12" t="s">
        <v>16</v>
      </c>
      <c r="D17" s="13">
        <v>1400006330</v>
      </c>
      <c r="E17" s="14" t="s">
        <v>20</v>
      </c>
      <c r="F17" s="14">
        <v>3</v>
      </c>
      <c r="G17" s="16">
        <v>0</v>
      </c>
      <c r="H17" s="16">
        <f t="shared" si="0"/>
        <v>0</v>
      </c>
      <c r="I17" s="16">
        <v>1000</v>
      </c>
      <c r="J17" s="16" t="s">
        <v>18</v>
      </c>
      <c r="K17" s="16">
        <v>1072</v>
      </c>
      <c r="L17" s="16">
        <v>5101</v>
      </c>
      <c r="M17" s="16" t="s">
        <v>21</v>
      </c>
    </row>
    <row r="18" s="1" customFormat="1" ht="33" customHeight="1" spans="1:13">
      <c r="A18" s="10" t="s">
        <v>15</v>
      </c>
      <c r="B18" s="11">
        <v>20091939</v>
      </c>
      <c r="C18" s="12" t="s">
        <v>16</v>
      </c>
      <c r="D18" s="13">
        <v>1400006330</v>
      </c>
      <c r="E18" s="14" t="s">
        <v>20</v>
      </c>
      <c r="F18" s="14">
        <v>3</v>
      </c>
      <c r="G18" s="16">
        <v>0</v>
      </c>
      <c r="H18" s="16">
        <f t="shared" si="0"/>
        <v>0</v>
      </c>
      <c r="I18" s="16">
        <v>1000</v>
      </c>
      <c r="J18" s="16" t="s">
        <v>18</v>
      </c>
      <c r="K18" s="16">
        <v>1072</v>
      </c>
      <c r="L18" s="16">
        <v>5101</v>
      </c>
      <c r="M18" s="16" t="s">
        <v>21</v>
      </c>
    </row>
    <row r="19" s="1" customFormat="1" ht="33" customHeight="1" spans="1:13">
      <c r="A19" s="10" t="s">
        <v>15</v>
      </c>
      <c r="B19" s="11">
        <v>20091939</v>
      </c>
      <c r="C19" s="12" t="s">
        <v>16</v>
      </c>
      <c r="D19" s="13">
        <v>1400006330</v>
      </c>
      <c r="E19" s="14" t="s">
        <v>20</v>
      </c>
      <c r="F19" s="14">
        <v>3</v>
      </c>
      <c r="G19" s="16">
        <v>0</v>
      </c>
      <c r="H19" s="16">
        <f t="shared" si="0"/>
        <v>0</v>
      </c>
      <c r="I19" s="16">
        <v>1000</v>
      </c>
      <c r="J19" s="16" t="s">
        <v>18</v>
      </c>
      <c r="K19" s="16">
        <v>1072</v>
      </c>
      <c r="L19" s="16">
        <v>5101</v>
      </c>
      <c r="M19" s="16" t="s">
        <v>21</v>
      </c>
    </row>
    <row r="20" s="1" customFormat="1" ht="33" customHeight="1" spans="1:13">
      <c r="A20" s="10" t="s">
        <v>15</v>
      </c>
      <c r="B20" s="11">
        <v>20091939</v>
      </c>
      <c r="C20" s="12" t="s">
        <v>16</v>
      </c>
      <c r="D20" s="13">
        <v>1400006330</v>
      </c>
      <c r="E20" s="14" t="s">
        <v>20</v>
      </c>
      <c r="F20" s="14">
        <v>3</v>
      </c>
      <c r="G20" s="16">
        <v>0</v>
      </c>
      <c r="H20" s="16">
        <f t="shared" si="0"/>
        <v>0</v>
      </c>
      <c r="I20" s="16">
        <v>1000</v>
      </c>
      <c r="J20" s="16" t="s">
        <v>18</v>
      </c>
      <c r="K20" s="16">
        <v>1072</v>
      </c>
      <c r="L20" s="16">
        <v>5101</v>
      </c>
      <c r="M20" s="16" t="s">
        <v>21</v>
      </c>
    </row>
    <row r="21" s="1" customFormat="1" ht="33" customHeight="1" spans="1:13">
      <c r="A21" s="10" t="s">
        <v>15</v>
      </c>
      <c r="B21" s="11">
        <v>20091939</v>
      </c>
      <c r="C21" s="12" t="s">
        <v>16</v>
      </c>
      <c r="D21" s="13">
        <v>1400006330</v>
      </c>
      <c r="E21" s="14" t="s">
        <v>20</v>
      </c>
      <c r="F21" s="14">
        <v>3</v>
      </c>
      <c r="G21" s="16">
        <v>0</v>
      </c>
      <c r="H21" s="16">
        <f t="shared" si="0"/>
        <v>0</v>
      </c>
      <c r="I21" s="16">
        <v>1000</v>
      </c>
      <c r="J21" s="16" t="s">
        <v>18</v>
      </c>
      <c r="K21" s="16">
        <v>1072</v>
      </c>
      <c r="L21" s="16">
        <v>5101</v>
      </c>
      <c r="M21" s="16" t="s">
        <v>21</v>
      </c>
    </row>
    <row r="22" s="1" customFormat="1" ht="33" customHeight="1" spans="1:13">
      <c r="A22" s="10" t="s">
        <v>15</v>
      </c>
      <c r="B22" s="11">
        <v>20091939</v>
      </c>
      <c r="C22" s="12" t="s">
        <v>16</v>
      </c>
      <c r="D22" s="13">
        <v>1400006330</v>
      </c>
      <c r="E22" s="14" t="s">
        <v>20</v>
      </c>
      <c r="F22" s="14">
        <v>3</v>
      </c>
      <c r="G22" s="16">
        <v>0</v>
      </c>
      <c r="H22" s="16">
        <f t="shared" si="0"/>
        <v>0</v>
      </c>
      <c r="I22" s="16">
        <v>1000</v>
      </c>
      <c r="J22" s="16" t="s">
        <v>18</v>
      </c>
      <c r="K22" s="16">
        <v>1072</v>
      </c>
      <c r="L22" s="16">
        <v>5101</v>
      </c>
      <c r="M22" s="16" t="s">
        <v>21</v>
      </c>
    </row>
    <row r="23" s="1" customFormat="1" ht="33" customHeight="1" spans="1:13">
      <c r="A23" s="10" t="s">
        <v>15</v>
      </c>
      <c r="B23" s="11">
        <v>20091939</v>
      </c>
      <c r="C23" s="12" t="s">
        <v>16</v>
      </c>
      <c r="D23" s="13">
        <v>1400006330</v>
      </c>
      <c r="E23" s="14" t="s">
        <v>20</v>
      </c>
      <c r="F23" s="14">
        <v>3</v>
      </c>
      <c r="G23" s="16">
        <v>0</v>
      </c>
      <c r="H23" s="16">
        <f t="shared" si="0"/>
        <v>0</v>
      </c>
      <c r="I23" s="16">
        <v>1000</v>
      </c>
      <c r="J23" s="16" t="s">
        <v>18</v>
      </c>
      <c r="K23" s="16">
        <v>1072</v>
      </c>
      <c r="L23" s="16">
        <v>5101</v>
      </c>
      <c r="M23" s="16" t="s">
        <v>21</v>
      </c>
    </row>
    <row r="24" s="1" customFormat="1" ht="33" customHeight="1" spans="1:13">
      <c r="A24" s="10" t="s">
        <v>15</v>
      </c>
      <c r="B24" s="11">
        <v>20091939</v>
      </c>
      <c r="C24" s="12" t="s">
        <v>16</v>
      </c>
      <c r="D24" s="13">
        <v>1400006330</v>
      </c>
      <c r="E24" s="14" t="s">
        <v>20</v>
      </c>
      <c r="F24" s="14">
        <v>3</v>
      </c>
      <c r="G24" s="16">
        <v>0</v>
      </c>
      <c r="H24" s="16">
        <f t="shared" si="0"/>
        <v>0</v>
      </c>
      <c r="I24" s="16">
        <v>1000</v>
      </c>
      <c r="J24" s="16" t="s">
        <v>18</v>
      </c>
      <c r="K24" s="16">
        <v>1072</v>
      </c>
      <c r="L24" s="16">
        <v>5101</v>
      </c>
      <c r="M24" s="16" t="s">
        <v>21</v>
      </c>
    </row>
    <row r="25" s="1" customFormat="1" ht="33" customHeight="1" spans="1:13">
      <c r="A25" s="10" t="s">
        <v>15</v>
      </c>
      <c r="B25" s="11">
        <v>20091939</v>
      </c>
      <c r="C25" s="12" t="s">
        <v>16</v>
      </c>
      <c r="D25" s="13">
        <v>1400006330</v>
      </c>
      <c r="E25" s="14" t="s">
        <v>20</v>
      </c>
      <c r="F25" s="14">
        <v>3</v>
      </c>
      <c r="G25" s="16">
        <v>0</v>
      </c>
      <c r="H25" s="16">
        <f t="shared" si="0"/>
        <v>0</v>
      </c>
      <c r="I25" s="16">
        <v>1000</v>
      </c>
      <c r="J25" s="16" t="s">
        <v>18</v>
      </c>
      <c r="K25" s="16">
        <v>1072</v>
      </c>
      <c r="L25" s="16">
        <v>5101</v>
      </c>
      <c r="M25" s="16" t="s">
        <v>21</v>
      </c>
    </row>
    <row r="26" s="1" customFormat="1" ht="33" customHeight="1" spans="1:13">
      <c r="A26" s="17"/>
      <c r="B26" s="17"/>
      <c r="C26" s="18"/>
      <c r="D26" s="19"/>
      <c r="E26" s="9" t="s">
        <v>22</v>
      </c>
      <c r="F26" s="20">
        <f>SUM(F4:F5)</f>
        <v>4</v>
      </c>
      <c r="G26" s="9"/>
      <c r="H26" s="9"/>
      <c r="I26" s="9"/>
      <c r="J26" s="9"/>
      <c r="K26" s="9"/>
      <c r="L26" s="9"/>
      <c r="M26" s="9"/>
    </row>
    <row r="27" s="3" customFormat="1" ht="51" customHeight="1" spans="1:13">
      <c r="A27" s="8"/>
      <c r="B27" s="8"/>
      <c r="C27" s="8"/>
      <c r="D27" s="8" t="s">
        <v>23</v>
      </c>
      <c r="E27" s="21" t="s">
        <v>24</v>
      </c>
      <c r="F27" s="21"/>
      <c r="G27" s="21"/>
      <c r="H27" s="21"/>
      <c r="I27" s="21" t="s">
        <v>25</v>
      </c>
      <c r="J27" s="21"/>
      <c r="K27" s="21"/>
      <c r="L27" s="21"/>
      <c r="M27" s="21"/>
    </row>
    <row r="28" s="3" customFormat="1" ht="33" customHeight="1" spans="1:13">
      <c r="A28" s="8"/>
      <c r="B28" s="8"/>
      <c r="C28" s="8"/>
      <c r="D28" s="8" t="s">
        <v>26</v>
      </c>
      <c r="E28" s="21" t="s">
        <v>27</v>
      </c>
      <c r="F28" s="21"/>
      <c r="G28" s="21"/>
      <c r="H28" s="21"/>
      <c r="I28" s="21" t="s">
        <v>28</v>
      </c>
      <c r="J28" s="21"/>
      <c r="K28" s="21"/>
      <c r="L28" s="21"/>
      <c r="M28" s="21"/>
    </row>
    <row r="29" s="3" customFormat="1" customHeight="1" spans="1:13">
      <c r="A29" s="7" t="s">
        <v>29</v>
      </c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</row>
    <row r="32" customHeight="1" spans="1:13">
      <c r="A32" s="22"/>
      <c r="B32" s="22"/>
    </row>
    <row r="33" customHeight="1" spans="1:2">
      <c r="A33" s="22"/>
      <c r="B33" s="22"/>
    </row>
    <row r="34" customHeight="1" spans="1:2">
      <c r="A34" s="22"/>
      <c r="B34" s="22"/>
    </row>
    <row r="35" customHeight="1" spans="1:2">
      <c r="A35" s="22"/>
      <c r="B35" s="22"/>
    </row>
  </sheetData>
  <mergeCells count="5">
    <mergeCell ref="A1:M1"/>
    <mergeCell ref="A2:M2"/>
    <mergeCell ref="E27:H27"/>
    <mergeCell ref="E28:H28"/>
    <mergeCell ref="A29:M29"/>
  </mergeCells>
  <printOptions horizontalCentered="1"/>
  <pageMargins left="0.751388888888889" right="0.751388888888889" top="1" bottom="1" header="0.511805555555556" footer="0.511805555555556"/>
  <pageSetup paperSize="9" scale="80" orientation="landscape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售后三包出库 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胡文扬</cp:lastModifiedBy>
  <dcterms:created xsi:type="dcterms:W3CDTF">2018-09-03T08:22:00Z</dcterms:created>
  <dcterms:modified xsi:type="dcterms:W3CDTF">2026-01-22T02:53:01Z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2052-12.1.0.24657</vt:lpwstr>
  </property>
  <property fmtid="{D5CDD505-2E9C-101B-9397-08002B2CF9AE}" pid="3" name="KSOReadingLayout">
    <vt:bool>true</vt:bool>
  </property>
  <property fmtid="{D5CDD505-2E9C-101B-9397-08002B2CF9AE}" pid="4" name="ICV">
    <vt:lpwstr>3FD89724BCCB48708D49AC19004FD2BA_13</vt:lpwstr>
  </property>
  <property fmtid="{D5CDD505-2E9C-101B-9397-08002B2CF9AE}" pid="5" name="CalculationRule">
    <vt:i4>0</vt:i4>
  </property>
</Properties>
</file>