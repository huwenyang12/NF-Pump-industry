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Sheet1!$A$1:$Q$10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ZSY</author>
  </authors>
  <commentList>
    <comment ref="O3" authorId="0">
      <text>
        <r>
          <rPr>
            <sz val="9"/>
            <rFont val="宋体"/>
            <charset val="134"/>
          </rPr>
          <t>我们填什么，让机器人自动选择那个选项</t>
        </r>
      </text>
    </comment>
    <comment ref="Q3" authorId="0">
      <text>
        <r>
          <rPr>
            <sz val="9"/>
            <rFont val="宋体"/>
            <charset val="134"/>
          </rPr>
          <t>双击物料号，文本 里的备注</t>
        </r>
      </text>
    </comment>
  </commentList>
</comments>
</file>

<file path=xl/sharedStrings.xml><?xml version="1.0" encoding="utf-8"?>
<sst xmlns="http://schemas.openxmlformats.org/spreadsheetml/2006/main" count="56" uniqueCount="40">
  <si>
    <r>
      <rPr>
        <b/>
        <sz val="9"/>
        <color rgb="FFFF0000"/>
        <rFont val="宋体"/>
        <charset val="134"/>
      </rPr>
      <t>南方泵业股份有限公司退货</t>
    </r>
    <r>
      <rPr>
        <b/>
        <sz val="9"/>
        <rFont val="宋体"/>
        <charset val="134"/>
      </rPr>
      <t>通知单2026年（1月19日退货单）26-1-19-01</t>
    </r>
  </si>
  <si>
    <t>发件人：赵淑颖  联系电话：  收件工厂：售后服务部 收件工厂：1072</t>
  </si>
  <si>
    <t>是否引用</t>
  </si>
  <si>
    <t>订单号</t>
  </si>
  <si>
    <t>售达方
（编码）</t>
  </si>
  <si>
    <t>库位</t>
  </si>
  <si>
    <t>客户参考</t>
  </si>
  <si>
    <t>项目（行号）</t>
  </si>
  <si>
    <t>物料号</t>
  </si>
  <si>
    <t>配件型 号</t>
  </si>
  <si>
    <t>序列号</t>
  </si>
  <si>
    <t>订单数量</t>
  </si>
  <si>
    <t>金额</t>
  </si>
  <si>
    <t>工厂</t>
  </si>
  <si>
    <t>贵方参考</t>
  </si>
  <si>
    <t>采购订单编号</t>
  </si>
  <si>
    <t>拒绝原因</t>
  </si>
  <si>
    <t>显示抬头详细信息</t>
  </si>
  <si>
    <t>备注1（物料文本）</t>
  </si>
  <si>
    <t>否</t>
  </si>
  <si>
    <t>SD012026010522601，客户承担，已扣客户（2584元）/台</t>
  </si>
  <si>
    <t>NIS50-32-160A/5.5SWH5-50皖南电B02泵PB05WF173</t>
  </si>
  <si>
    <t>2405058969,2405058970</t>
  </si>
  <si>
    <t>H000640797</t>
  </si>
  <si>
    <t>选错型号</t>
  </si>
  <si>
    <t>SD012026010522601，客户承担，已扣客户（9841元）/台</t>
  </si>
  <si>
    <t>CDM32-15-2FSWPR|轴承体|5-50|皖南|电机B02|WF|二代</t>
  </si>
  <si>
    <t>2404124260,2404124261</t>
  </si>
  <si>
    <t>SD012026010522601，客户承担，已扣客户（2976元）/台</t>
  </si>
  <si>
    <t>立式泵|CDMF10-11FSWSC|轴承体|IE4|皖南|电机B02|WF</t>
  </si>
  <si>
    <t>2404124262,2404124263</t>
  </si>
  <si>
    <t>SD012026010522589，客户承担，已扣客户（7350元）/台</t>
  </si>
  <si>
    <t>端吸泵|NIS125-100-250G/75SWH|蓝IE3</t>
  </si>
  <si>
    <t>2412153000,2412153001</t>
  </si>
  <si>
    <t>H000728594</t>
  </si>
  <si>
    <t>合计：</t>
  </si>
  <si>
    <t>是否安装调试验收</t>
  </si>
  <si>
    <t>备注1：</t>
  </si>
  <si>
    <t>N</t>
  </si>
  <si>
    <t>备注2：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</si>
</sst>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name val="宋体"/>
      <charset val="134"/>
    </font>
    <font>
      <b/>
      <sz val="9"/>
      <color rgb="FFFF0000"/>
      <name val="宋体"/>
      <charset val="134"/>
    </font>
    <font>
      <b/>
      <sz val="9"/>
      <name val="宋体"/>
      <charset val="134"/>
    </font>
    <font>
      <sz val="9"/>
      <color theme="1"/>
      <name val="宋体"/>
      <charset val="134"/>
      <scheme val="minor"/>
    </font>
    <font>
      <sz val="9"/>
      <color theme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5" fillId="0" borderId="1" xfId="19" applyNumberFormat="1" applyFont="1" applyFill="1" applyBorder="1" applyAlignment="1">
      <alignment horizontal="center" vertical="center" wrapText="1"/>
    </xf>
    <xf numFmtId="0" fontId="5" fillId="0" borderId="1" xfId="19" applyFont="1" applyFill="1" applyBorder="1" applyAlignment="1">
      <alignment horizontal="left" vertical="center" wrapText="1"/>
    </xf>
    <xf numFmtId="49" fontId="5" fillId="0" borderId="1" xfId="19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10</xdr:row>
      <xdr:rowOff>0</xdr:rowOff>
    </xdr:from>
    <xdr:to>
      <xdr:col>9</xdr:col>
      <xdr:colOff>45720</xdr:colOff>
      <xdr:row>10</xdr:row>
      <xdr:rowOff>9525</xdr:rowOff>
    </xdr:to>
    <xdr:pic>
      <xdr:nvPicPr>
        <xdr:cNvPr id="2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1105" y="3810000"/>
          <a:ext cx="272224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47625</xdr:colOff>
      <xdr:row>10</xdr:row>
      <xdr:rowOff>9525</xdr:rowOff>
    </xdr:to>
    <xdr:pic>
      <xdr:nvPicPr>
        <xdr:cNvPr id="3" name="图片 2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1105" y="3810000"/>
          <a:ext cx="272415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45720</xdr:colOff>
      <xdr:row>10</xdr:row>
      <xdr:rowOff>10795</xdr:rowOff>
    </xdr:to>
    <xdr:pic>
      <xdr:nvPicPr>
        <xdr:cNvPr id="4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1105" y="3810000"/>
          <a:ext cx="272224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47625</xdr:colOff>
      <xdr:row>10</xdr:row>
      <xdr:rowOff>10795</xdr:rowOff>
    </xdr:to>
    <xdr:pic>
      <xdr:nvPicPr>
        <xdr:cNvPr id="5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1105" y="3810000"/>
          <a:ext cx="272415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8</xdr:col>
      <xdr:colOff>1230312</xdr:colOff>
      <xdr:row>10</xdr:row>
      <xdr:rowOff>10795</xdr:rowOff>
    </xdr:to>
    <xdr:pic>
      <xdr:nvPicPr>
        <xdr:cNvPr id="6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46780" y="3810000"/>
          <a:ext cx="269684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8</xdr:col>
      <xdr:colOff>1220470</xdr:colOff>
      <xdr:row>10</xdr:row>
      <xdr:rowOff>10795</xdr:rowOff>
    </xdr:to>
    <xdr:pic>
      <xdr:nvPicPr>
        <xdr:cNvPr id="7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46780" y="3810000"/>
          <a:ext cx="268732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8</xdr:col>
      <xdr:colOff>1220470</xdr:colOff>
      <xdr:row>10</xdr:row>
      <xdr:rowOff>9525</xdr:rowOff>
    </xdr:to>
    <xdr:pic>
      <xdr:nvPicPr>
        <xdr:cNvPr id="8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46780" y="3810000"/>
          <a:ext cx="268732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45720</xdr:colOff>
      <xdr:row>0</xdr:row>
      <xdr:rowOff>9525</xdr:rowOff>
    </xdr:to>
    <xdr:pic>
      <xdr:nvPicPr>
        <xdr:cNvPr id="9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1105" y="0"/>
          <a:ext cx="272224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47625</xdr:colOff>
      <xdr:row>0</xdr:row>
      <xdr:rowOff>9525</xdr:rowOff>
    </xdr:to>
    <xdr:pic>
      <xdr:nvPicPr>
        <xdr:cNvPr id="10" name="图片 9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1105" y="0"/>
          <a:ext cx="272415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45720</xdr:colOff>
      <xdr:row>0</xdr:row>
      <xdr:rowOff>10795</xdr:rowOff>
    </xdr:to>
    <xdr:pic>
      <xdr:nvPicPr>
        <xdr:cNvPr id="11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1105" y="0"/>
          <a:ext cx="272224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47625</xdr:colOff>
      <xdr:row>0</xdr:row>
      <xdr:rowOff>10795</xdr:rowOff>
    </xdr:to>
    <xdr:pic>
      <xdr:nvPicPr>
        <xdr:cNvPr id="12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1105" y="0"/>
          <a:ext cx="272415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8</xdr:col>
      <xdr:colOff>1230312</xdr:colOff>
      <xdr:row>0</xdr:row>
      <xdr:rowOff>10795</xdr:rowOff>
    </xdr:to>
    <xdr:pic>
      <xdr:nvPicPr>
        <xdr:cNvPr id="13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46780" y="0"/>
          <a:ext cx="269684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8</xdr:col>
      <xdr:colOff>1220470</xdr:colOff>
      <xdr:row>0</xdr:row>
      <xdr:rowOff>10795</xdr:rowOff>
    </xdr:to>
    <xdr:pic>
      <xdr:nvPicPr>
        <xdr:cNvPr id="14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46780" y="0"/>
          <a:ext cx="268732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8</xdr:col>
      <xdr:colOff>1220470</xdr:colOff>
      <xdr:row>0</xdr:row>
      <xdr:rowOff>9525</xdr:rowOff>
    </xdr:to>
    <xdr:pic>
      <xdr:nvPicPr>
        <xdr:cNvPr id="15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46780" y="0"/>
          <a:ext cx="268732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45720</xdr:colOff>
      <xdr:row>0</xdr:row>
      <xdr:rowOff>9525</xdr:rowOff>
    </xdr:to>
    <xdr:pic>
      <xdr:nvPicPr>
        <xdr:cNvPr id="16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1105" y="0"/>
          <a:ext cx="272224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47625</xdr:colOff>
      <xdr:row>0</xdr:row>
      <xdr:rowOff>9525</xdr:rowOff>
    </xdr:to>
    <xdr:pic>
      <xdr:nvPicPr>
        <xdr:cNvPr id="17" name="图片 16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1105" y="0"/>
          <a:ext cx="272415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45720</xdr:colOff>
      <xdr:row>0</xdr:row>
      <xdr:rowOff>10795</xdr:rowOff>
    </xdr:to>
    <xdr:pic>
      <xdr:nvPicPr>
        <xdr:cNvPr id="18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1105" y="0"/>
          <a:ext cx="272224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47625</xdr:colOff>
      <xdr:row>0</xdr:row>
      <xdr:rowOff>10795</xdr:rowOff>
    </xdr:to>
    <xdr:pic>
      <xdr:nvPicPr>
        <xdr:cNvPr id="19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1105" y="0"/>
          <a:ext cx="272415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8</xdr:col>
      <xdr:colOff>1230312</xdr:colOff>
      <xdr:row>0</xdr:row>
      <xdr:rowOff>10795</xdr:rowOff>
    </xdr:to>
    <xdr:pic>
      <xdr:nvPicPr>
        <xdr:cNvPr id="20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46780" y="0"/>
          <a:ext cx="269684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8</xdr:col>
      <xdr:colOff>1220470</xdr:colOff>
      <xdr:row>0</xdr:row>
      <xdr:rowOff>10795</xdr:rowOff>
    </xdr:to>
    <xdr:pic>
      <xdr:nvPicPr>
        <xdr:cNvPr id="21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46780" y="0"/>
          <a:ext cx="268732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8</xdr:col>
      <xdr:colOff>1220470</xdr:colOff>
      <xdr:row>0</xdr:row>
      <xdr:rowOff>9525</xdr:rowOff>
    </xdr:to>
    <xdr:pic>
      <xdr:nvPicPr>
        <xdr:cNvPr id="22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46780" y="0"/>
          <a:ext cx="2687320" cy="9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workbookViewId="0">
      <pane ySplit="3" topLeftCell="A4" activePane="bottomLeft" state="frozen"/>
      <selection/>
      <selection pane="bottomLeft" activeCell="W9" sqref="W9"/>
    </sheetView>
  </sheetViews>
  <sheetFormatPr defaultColWidth="9.86666666666667" defaultRowHeight="18" customHeight="1"/>
  <cols>
    <col min="1" max="1" width="5.73333333333333" style="3" customWidth="1"/>
    <col min="2" max="2" width="8.875" style="3" customWidth="1"/>
    <col min="3" max="3" width="7.375" style="3" customWidth="1"/>
    <col min="4" max="4" width="6" style="3" customWidth="1"/>
    <col min="5" max="5" width="17.25" style="1" customWidth="1"/>
    <col min="6" max="6" width="4.125" style="3" customWidth="1"/>
    <col min="7" max="7" width="8.625" style="3" customWidth="1"/>
    <col min="8" max="8" width="6.5" style="3" customWidth="1"/>
    <col min="9" max="9" width="20" style="4" customWidth="1"/>
    <col min="10" max="10" width="4" style="3" customWidth="1"/>
    <col min="11" max="11" width="5.75" style="3" customWidth="1"/>
    <col min="12" max="12" width="4" style="3" customWidth="1"/>
    <col min="13" max="13" width="11.625" style="3" customWidth="1"/>
    <col min="14" max="14" width="9.5" style="3" customWidth="1"/>
    <col min="15" max="15" width="11.4" style="3" customWidth="1"/>
    <col min="16" max="16" width="16.125" style="3" customWidth="1"/>
    <col min="17" max="17" width="16.125" style="1" customWidth="1"/>
    <col min="18" max="18" width="9.86666666666667" style="5" customWidth="1"/>
    <col min="19" max="19" width="9.86666666666667" style="5"/>
    <col min="20" max="20" width="16.125" style="5" customWidth="1"/>
    <col min="21" max="21" width="9.86666666666667" style="6"/>
    <col min="22" max="16384" width="9.86666666666667" style="3"/>
  </cols>
  <sheetData>
    <row r="1" customHeight="1" spans="1:21">
      <c r="A1" s="7" t="s">
        <v>0</v>
      </c>
      <c r="B1" s="7"/>
      <c r="C1" s="7"/>
      <c r="D1" s="7"/>
      <c r="E1" s="8"/>
      <c r="F1" s="9"/>
      <c r="G1" s="9"/>
      <c r="H1" s="9"/>
      <c r="I1" s="10"/>
      <c r="J1" s="9"/>
      <c r="K1" s="9"/>
      <c r="L1" s="9"/>
      <c r="M1" s="9"/>
      <c r="N1" s="9"/>
      <c r="O1" s="9"/>
      <c r="P1" s="9"/>
      <c r="Q1" s="9"/>
    </row>
    <row r="2" customHeight="1" spans="1:21">
      <c r="A2" s="9" t="s">
        <v>1</v>
      </c>
      <c r="B2" s="9"/>
      <c r="C2" s="9"/>
      <c r="D2" s="9"/>
      <c r="E2" s="11"/>
      <c r="F2" s="9"/>
      <c r="G2" s="9"/>
      <c r="H2" s="9"/>
      <c r="I2" s="10"/>
      <c r="J2" s="9"/>
      <c r="K2" s="9"/>
      <c r="L2" s="9"/>
      <c r="M2" s="9"/>
      <c r="N2" s="9"/>
      <c r="O2" s="9"/>
      <c r="P2" s="9"/>
      <c r="Q2" s="9"/>
    </row>
    <row r="3" s="1" customFormat="1" ht="33" customHeight="1" spans="1:21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3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2" t="s">
        <v>18</v>
      </c>
      <c r="R3" s="5"/>
      <c r="S3" s="5"/>
      <c r="T3" s="5"/>
      <c r="U3" s="5"/>
    </row>
    <row r="4" s="2" customFormat="1" ht="33" customHeight="1" spans="1:21">
      <c r="A4" s="14" t="s">
        <v>19</v>
      </c>
      <c r="B4" s="15"/>
      <c r="C4" s="14">
        <v>20014031</v>
      </c>
      <c r="D4" s="14">
        <v>1002</v>
      </c>
      <c r="E4" s="16" t="s">
        <v>20</v>
      </c>
      <c r="F4" s="17">
        <v>10</v>
      </c>
      <c r="G4" s="18">
        <v>1100349871</v>
      </c>
      <c r="H4" s="19" t="s">
        <v>21</v>
      </c>
      <c r="I4" s="20" t="s">
        <v>22</v>
      </c>
      <c r="J4" s="21">
        <v>2</v>
      </c>
      <c r="K4" s="21">
        <v>2584</v>
      </c>
      <c r="L4" s="14">
        <v>1072</v>
      </c>
      <c r="M4" s="14" t="s">
        <v>23</v>
      </c>
      <c r="N4" s="15">
        <v>2001716572</v>
      </c>
      <c r="O4" s="21" t="s">
        <v>24</v>
      </c>
      <c r="P4" s="16" t="s">
        <v>20</v>
      </c>
      <c r="Q4" s="16" t="s">
        <v>20</v>
      </c>
      <c r="R4" s="22"/>
      <c r="S4" s="22"/>
      <c r="T4" s="22"/>
    </row>
    <row r="5" s="2" customFormat="1" ht="33" customHeight="1" spans="1:21">
      <c r="A5" s="14" t="s">
        <v>19</v>
      </c>
      <c r="B5" s="15"/>
      <c r="C5" s="14">
        <v>20014031</v>
      </c>
      <c r="D5" s="14">
        <v>1002</v>
      </c>
      <c r="E5" s="16" t="s">
        <v>25</v>
      </c>
      <c r="F5" s="17">
        <v>10</v>
      </c>
      <c r="G5" s="18">
        <v>1100349865</v>
      </c>
      <c r="H5" s="19" t="s">
        <v>26</v>
      </c>
      <c r="I5" s="20" t="s">
        <v>27</v>
      </c>
      <c r="J5" s="21">
        <v>2</v>
      </c>
      <c r="K5" s="21">
        <v>9640</v>
      </c>
      <c r="L5" s="14">
        <v>1072</v>
      </c>
      <c r="M5" s="14" t="s">
        <v>23</v>
      </c>
      <c r="N5" s="15">
        <v>2001716575</v>
      </c>
      <c r="O5" s="21" t="s">
        <v>24</v>
      </c>
      <c r="P5" s="16" t="s">
        <v>25</v>
      </c>
      <c r="Q5" s="16" t="s">
        <v>25</v>
      </c>
      <c r="R5" s="22"/>
      <c r="S5" s="22"/>
      <c r="T5" s="22"/>
    </row>
    <row r="6" s="2" customFormat="1" ht="33" customHeight="1" spans="1:21">
      <c r="A6" s="14" t="s">
        <v>19</v>
      </c>
      <c r="B6" s="15"/>
      <c r="C6" s="14">
        <v>20014031</v>
      </c>
      <c r="D6" s="14">
        <v>1002</v>
      </c>
      <c r="E6" s="16" t="s">
        <v>28</v>
      </c>
      <c r="F6" s="17">
        <v>20</v>
      </c>
      <c r="G6" s="18">
        <v>1100349866</v>
      </c>
      <c r="H6" s="19" t="s">
        <v>29</v>
      </c>
      <c r="I6" s="20" t="s">
        <v>30</v>
      </c>
      <c r="J6" s="21">
        <v>2</v>
      </c>
      <c r="K6" s="21">
        <v>2976</v>
      </c>
      <c r="L6" s="14">
        <v>1072</v>
      </c>
      <c r="M6" s="14" t="s">
        <v>23</v>
      </c>
      <c r="N6" s="15">
        <v>2001716575</v>
      </c>
      <c r="O6" s="21" t="s">
        <v>24</v>
      </c>
      <c r="P6" s="16" t="s">
        <v>28</v>
      </c>
      <c r="Q6" s="16" t="s">
        <v>28</v>
      </c>
      <c r="R6" s="22"/>
      <c r="S6" s="22"/>
      <c r="T6" s="22"/>
    </row>
    <row r="7" s="2" customFormat="1" ht="33" customHeight="1" spans="1:21">
      <c r="A7" s="14" t="s">
        <v>19</v>
      </c>
      <c r="B7" s="15"/>
      <c r="C7" s="14">
        <v>20118814</v>
      </c>
      <c r="D7" s="14">
        <v>1237</v>
      </c>
      <c r="E7" s="16" t="s">
        <v>31</v>
      </c>
      <c r="F7" s="17">
        <v>10</v>
      </c>
      <c r="G7" s="18">
        <v>1100158432</v>
      </c>
      <c r="H7" s="19" t="s">
        <v>32</v>
      </c>
      <c r="I7" s="20" t="s">
        <v>33</v>
      </c>
      <c r="J7" s="21">
        <v>2</v>
      </c>
      <c r="K7" s="21">
        <v>13650</v>
      </c>
      <c r="L7" s="14">
        <v>1072</v>
      </c>
      <c r="M7" s="14" t="s">
        <v>34</v>
      </c>
      <c r="N7" s="15">
        <v>2001905822</v>
      </c>
      <c r="O7" s="21" t="s">
        <v>24</v>
      </c>
      <c r="P7" s="16" t="s">
        <v>31</v>
      </c>
      <c r="Q7" s="16" t="s">
        <v>31</v>
      </c>
      <c r="R7" s="22"/>
      <c r="S7" s="22"/>
      <c r="T7" s="22"/>
    </row>
    <row r="8" ht="33" customHeight="1" spans="1:21">
      <c r="A8" s="23"/>
      <c r="B8" s="24"/>
      <c r="C8" s="24"/>
      <c r="D8" s="24"/>
      <c r="E8" s="25"/>
      <c r="F8" s="24"/>
      <c r="G8" s="23"/>
      <c r="H8" s="12" t="s">
        <v>35</v>
      </c>
      <c r="I8" s="13"/>
      <c r="J8" s="12">
        <f>SUM(J4:J7)</f>
        <v>8</v>
      </c>
      <c r="K8" s="12"/>
      <c r="L8" s="23"/>
      <c r="M8" s="23"/>
      <c r="N8" s="9"/>
      <c r="O8" s="11"/>
      <c r="P8" s="11"/>
      <c r="Q8" s="25"/>
    </row>
    <row r="9" ht="33" customHeight="1" spans="1:21">
      <c r="A9" s="24"/>
      <c r="B9" s="24"/>
      <c r="C9" s="24"/>
      <c r="D9" s="24"/>
      <c r="E9" s="25"/>
      <c r="F9" s="24"/>
      <c r="G9" s="12" t="s">
        <v>36</v>
      </c>
      <c r="H9" s="12" t="s">
        <v>37</v>
      </c>
      <c r="I9" s="13"/>
      <c r="J9" s="12"/>
      <c r="K9" s="12"/>
      <c r="L9" s="12"/>
      <c r="M9" s="12"/>
      <c r="N9" s="12"/>
      <c r="O9" s="12"/>
      <c r="P9" s="12"/>
      <c r="Q9" s="24"/>
    </row>
    <row r="10" ht="33" customHeight="1" spans="1:21">
      <c r="A10" s="24"/>
      <c r="B10" s="24"/>
      <c r="C10" s="24"/>
      <c r="D10" s="24"/>
      <c r="E10" s="25"/>
      <c r="F10" s="24"/>
      <c r="G10" s="26" t="s">
        <v>38</v>
      </c>
      <c r="H10" s="12" t="s">
        <v>39</v>
      </c>
      <c r="I10" s="13"/>
      <c r="J10" s="12"/>
      <c r="K10" s="12"/>
      <c r="L10" s="12"/>
      <c r="M10" s="12"/>
      <c r="N10" s="12"/>
      <c r="O10" s="12"/>
      <c r="P10" s="12"/>
      <c r="Q10" s="24"/>
    </row>
  </sheetData>
  <mergeCells count="2">
    <mergeCell ref="A1:Q1"/>
    <mergeCell ref="A2:Q2"/>
  </mergeCells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仲理毅</cp:lastModifiedBy>
  <dcterms:created xsi:type="dcterms:W3CDTF">2025-09-10T00:47:00Z</dcterms:created>
  <dcterms:modified xsi:type="dcterms:W3CDTF">2026-01-19T07:39:34Z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B08F642D832844A5B0E6A4C8C8BBCB93_13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