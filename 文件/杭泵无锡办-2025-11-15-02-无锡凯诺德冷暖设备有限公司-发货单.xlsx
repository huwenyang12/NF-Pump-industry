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 tabRatio="180"/>
  </bookViews>
  <sheets>
    <sheet name="Sheet" sheetId="82" r:id="rId1"/>
  </sheets>
  <definedNames>
    <definedName name="_xlnm.Print_Area" localSheetId="0">Sheet!$A$1:$J$6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<sst xmlns="http://schemas.openxmlformats.org/spreadsheetml/2006/main" count="21" uniqueCount="21">
  <si>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2025年11月15日订单  杭泵无锡办20251115002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</si>
  <si>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牛庆芳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15994147435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</si>
  <si>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</si>
  <si>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</si>
  <si>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</si>
  <si>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</si>
  <si>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</si>
  <si>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</si>
  <si>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</si>
  <si>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</si>
  <si>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</si>
  <si>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</si>
  <si>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杭泵无锡办20251115002</t>
  </si>
  <si>
    <t>无锡凯诺德冷暖设备有限公司</t>
  </si>
  <si>
    <t>CHL12-30LSWSC</t>
  </si>
  <si>
    <t>物流送货/江阴市徐霞客镇马镇北渚村东圩田1-1号/于波/15852798864</t>
  </si>
  <si>
    <t>合同号：H*****</t>
  </si>
  <si>
    <t>是否安装调试验收</t>
  </si>
  <si>
    <t>备注1：</t>
  </si>
  <si>
    <t>Y/N（是填"Y"否填"N"）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</si>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</sst>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color rgb="FF00B05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1" fontId="6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31" fontId="7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zoomScale="85" zoomScaleNormal="85" zoomScaleSheetLayoutView="87" workbookViewId="0">
      <selection activeCell="G11" sqref="G11"/>
    </sheetView>
  </sheetViews>
  <sheetFormatPr defaultColWidth="9" defaultRowHeight="30" customHeight="1" outlineLevelRow="7"/>
  <cols>
    <col min="1" max="1" width="27.6283185840708" style="1" customWidth="1"/>
    <col min="2" max="2" width="17.7787610619469" style="1" customWidth="1"/>
    <col min="3" max="3" width="13.7787610619469" style="1" customWidth="1"/>
    <col min="4" max="4" width="47.7787610619469" style="3" customWidth="1"/>
    <col min="5" max="5" width="6.7787610619469" style="3" customWidth="1"/>
    <col min="6" max="6" width="6.7787610619469" style="1" customWidth="1"/>
    <col min="7" max="8" width="7.7787610619469" style="1" customWidth="1"/>
    <col min="9" max="9" width="18.5044247787611" style="1" customWidth="1"/>
    <col min="10" max="10" width="35.7787610619469" style="1" customWidth="1"/>
    <col min="11" max="16384" width="9" style="1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26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2" customFormat="1" ht="34" customHeight="1" spans="1:10">
      <c r="A4" s="7" t="s">
        <v>12</v>
      </c>
      <c r="B4" s="8" t="s">
        <v>13</v>
      </c>
      <c r="C4" s="9">
        <v>1100284813</v>
      </c>
      <c r="D4" s="10" t="s">
        <v>14</v>
      </c>
      <c r="E4" s="11">
        <v>3900</v>
      </c>
      <c r="F4" s="10">
        <v>6</v>
      </c>
      <c r="G4" s="10">
        <v>1470</v>
      </c>
      <c r="H4" s="12">
        <f>F4*G4</f>
        <v>8820</v>
      </c>
      <c r="I4" s="13">
        <v>45976</v>
      </c>
      <c r="J4" s="8" t="s">
        <v>15</v>
      </c>
    </row>
    <row r="5" s="1" customFormat="1" ht="34" customHeight="1" spans="1:10">
      <c r="A5" s="14"/>
      <c r="B5" s="15"/>
      <c r="C5" s="6"/>
      <c r="D5" s="6"/>
      <c r="E5" s="6"/>
      <c r="F5" s="10"/>
      <c r="G5" s="10"/>
      <c r="H5" s="12"/>
      <c r="I5" s="16"/>
      <c r="J5" s="17"/>
    </row>
    <row r="6" s="1" customFormat="1" ht="34" customHeight="1" spans="1:10">
      <c r="A6" s="18"/>
      <c r="B6" s="19"/>
      <c r="C6" s="6"/>
      <c r="D6" s="6"/>
      <c r="E6" s="6"/>
      <c r="F6" s="10">
        <f>SUM(F4:F4)</f>
        <v>6</v>
      </c>
      <c r="G6" s="10"/>
      <c r="H6" s="12">
        <f>SUM(H4:H4)</f>
        <v>8820</v>
      </c>
      <c r="I6" s="16"/>
      <c r="J6" s="17"/>
    </row>
    <row r="7" customHeight="1" spans="1:10">
      <c r="A7" s="20" t="s">
        <v>16</v>
      </c>
      <c r="B7" s="20"/>
      <c r="C7" s="20" t="s">
        <v>17</v>
      </c>
      <c r="D7" s="20" t="s">
        <v>18</v>
      </c>
      <c r="E7" s="20"/>
      <c r="F7" s="20"/>
      <c r="G7" s="20"/>
      <c r="H7" s="20"/>
      <c r="I7" s="20"/>
      <c r="J7" s="6"/>
    </row>
    <row r="8" customHeight="1" spans="1:10">
      <c r="A8" s="20"/>
      <c r="B8" s="20"/>
      <c r="C8" s="10" t="s">
        <v>19</v>
      </c>
      <c r="D8" s="20" t="s">
        <v>20</v>
      </c>
      <c r="E8" s="20"/>
      <c r="F8" s="20"/>
      <c r="G8" s="20"/>
      <c r="H8" s="20"/>
      <c r="I8" s="20"/>
      <c r="J8" s="6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胡文扬</cp:lastModifiedBy>
  <dcterms:created xsi:type="dcterms:W3CDTF">2018-09-03T08:22:00Z</dcterms:created>
  <dcterms:modified xsi:type="dcterms:W3CDTF">2025-11-17T02:22:52Z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