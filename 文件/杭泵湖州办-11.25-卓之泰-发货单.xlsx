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青臣云起\项目\南方流体模板解析\文件\"/>
    </mc:Choice>
  </mc:AlternateContent>
  <xr:revisionPtr revIDLastSave="0" documentId="13_ncr:1_{D753D552-CEB7-4DF0-939F-A8EDEFD67499}" xr6:coauthVersionLast="47" xr6:coauthVersionMax="47" xr10:uidLastSave="{00000000-0000-0000-0000-000000000000}"/>
  <bookViews>
    <workbookView xWindow="43080" yWindow="-120" windowWidth="29040" windowHeight="15720" tabRatio="180" xr2:uid="{00000000-000D-0000-FFFF-FFFF00000000}"/>
  </bookViews>
  <sheets>
    <sheet name="Sheet" sheetId="82" r:id="rId1"/>
  </sheets>
  <definedNames>
    <definedName name="_xlnm._FilterDatabase" localSheetId="0" hidden="1">Sheet!#REF!</definedName>
    <definedName name="_xlnm.Print_Area" localSheetId="0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82" l="1"/>
  <c r="H13" i="82"/>
  <c r="H12" i="82"/>
  <c r="H16" i="82" s="1"/>
  <c r="F8" i="82"/>
  <c r="H4" i="82"/>
  <c r="H8" i="82" s="1"/>
</calcChain>
</file>

<file path=xl/sharedStrings.xml><?xml version="1.0" encoding="utf-8"?>
<sst xmlns="http://schemas.openxmlformats.org/spreadsheetml/2006/main" count="41" uniqueCount="26">
  <si>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2025年11月25日订单  杭泵湖州办20251102502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</si>
  <si>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***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</si>
  <si>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</si>
  <si>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</si>
  <si>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</si>
  <si>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</si>
  <si>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</si>
  <si>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</si>
  <si>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</si>
  <si>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</si>
  <si>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</si>
  <si>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</si>
  <si>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杭泵湖州办2025-11-25-02</t>
  </si>
  <si>
    <t xml:space="preserve"> 杭州宏昊机电设备有限公司</t>
  </si>
  <si>
    <t>CDLF10-3FSWSC</t>
  </si>
  <si>
    <t>送货/浙江/桐庐县/城南街道白云源路1617号/程立眀/15988187198</t>
  </si>
  <si>
    <t>合同号：H*****</t>
  </si>
  <si>
    <t>是否安装调试验收</t>
  </si>
  <si>
    <t>备注1：</t>
  </si>
  <si>
    <t>N</t>
  </si>
  <si>
    <t>备注2：附发货清单</t>
  </si>
  <si>
    <t>杭泵湖州办2025-11-25-03</t>
  </si>
  <si>
    <t>徐州卓之泰贸易有限公司</t>
  </si>
  <si>
    <t>CDL2-11FSWPC</t>
  </si>
  <si>
    <t>送货/浙江省/湖州市/德清县新市镇状元北路38号湖州天美水处理有限公司/何友丽/13396595330</t>
  </si>
  <si>
    <t>CHL2-30LSWSC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</si>
</sst>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rgb="FF000000"/>
      <name val="simhei"/>
      <charset val="134"/>
    </font>
    <font>
      <b/>
      <sz val="12"/>
      <color theme="1"/>
      <name val="楷体"/>
      <charset val="134"/>
    </font>
    <font>
      <sz val="12"/>
      <color rgb="FF00B050"/>
      <name val="微软雅黑"/>
      <charset val="134"/>
    </font>
    <font>
      <sz val="12"/>
      <color indexed="8"/>
      <name val="SimSun"/>
      <charset val="134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DAFFFA"/>
        <bgColor rgb="FFDAFFFA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1" fontId="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1" fontId="1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">
    <cellStyle name="常规" xfId="0" builtinId="0"/>
    <cellStyle name="常规 11 10 2" xfId="1" xr:uid="{00000000-0005-0000-0000-000031000000}"/>
    <cellStyle name="常规 2 10 2" xfId="3" xr:uid="{00000000-0005-0000-0000-000034000000}"/>
    <cellStyle name="常规 2 2" xfId="2" xr:uid="{00000000-0005-0000-0000-000032000000}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8"/>
  <sheetViews>
    <sheetView tabSelected="1" zoomScaleSheetLayoutView="87" workbookViewId="0">
      <selection activeCell="D15" sqref="D15"/>
    </sheetView>
  </sheetViews>
  <sheetFormatPr defaultColWidth="9" defaultRowHeight="30" customHeight="1"/>
  <cols>
    <col min="1" max="1" width="27.59765625" style="1" customWidth="1"/>
    <col min="2" max="2" width="17.796875" style="1" customWidth="1"/>
    <col min="3" max="3" width="13.796875" style="1" customWidth="1"/>
    <col min="4" max="4" width="47.796875" style="2" customWidth="1"/>
    <col min="5" max="5" width="6.796875" style="2" customWidth="1"/>
    <col min="6" max="6" width="6.796875" style="1" customWidth="1"/>
    <col min="7" max="8" width="7.796875" style="1" customWidth="1"/>
    <col min="9" max="9" width="18.53125" style="1" customWidth="1"/>
    <col min="10" max="10" width="35.796875" style="1" customWidth="1"/>
    <col min="11" max="16384" width="9" style="1"/>
  </cols>
  <sheetData>
    <row r="1" spans="1:10" ht="30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0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ht="30" customHeight="1">
      <c r="A4" s="30" t="s">
        <v>12</v>
      </c>
      <c r="B4" s="32" t="s">
        <v>13</v>
      </c>
      <c r="C4" s="4">
        <v>1100281184</v>
      </c>
      <c r="D4" s="5" t="s">
        <v>14</v>
      </c>
      <c r="E4" s="6">
        <v>3900</v>
      </c>
      <c r="F4" s="7">
        <v>1</v>
      </c>
      <c r="G4" s="7">
        <v>1707</v>
      </c>
      <c r="H4" s="8">
        <f t="shared" ref="H4" si="0">F4*G4</f>
        <v>1707</v>
      </c>
      <c r="I4" s="9">
        <v>45990</v>
      </c>
      <c r="J4" s="32" t="s">
        <v>15</v>
      </c>
    </row>
    <row r="5" spans="1:10" ht="30" customHeight="1">
      <c r="A5" s="30"/>
      <c r="B5" s="32"/>
      <c r="C5" s="10"/>
      <c r="D5" s="5"/>
      <c r="E5" s="6"/>
      <c r="F5" s="7"/>
      <c r="G5" s="11"/>
      <c r="H5" s="8"/>
      <c r="I5" s="9"/>
      <c r="J5" s="34"/>
    </row>
    <row r="6" spans="1:10" ht="30" customHeight="1">
      <c r="A6" s="30"/>
      <c r="B6" s="32"/>
      <c r="C6" s="12"/>
      <c r="D6" s="13"/>
      <c r="E6" s="6"/>
      <c r="F6" s="14"/>
      <c r="G6" s="13"/>
      <c r="H6" s="8"/>
      <c r="I6" s="9"/>
      <c r="J6" s="34"/>
    </row>
    <row r="7" spans="1:10" ht="30" customHeight="1">
      <c r="A7" s="30"/>
      <c r="B7" s="32"/>
      <c r="C7" s="12"/>
      <c r="D7" s="15"/>
      <c r="E7" s="16"/>
      <c r="F7" s="17"/>
      <c r="G7" s="17"/>
      <c r="H7" s="8"/>
      <c r="I7" s="18"/>
      <c r="J7" s="34"/>
    </row>
    <row r="8" spans="1:10" ht="30" customHeight="1">
      <c r="A8" s="31"/>
      <c r="B8" s="33"/>
      <c r="C8" s="19"/>
      <c r="D8" s="19"/>
      <c r="E8" s="19"/>
      <c r="F8" s="10">
        <f>SUM(F4:F7)</f>
        <v>1</v>
      </c>
      <c r="G8" s="10"/>
      <c r="H8" s="20">
        <f>SUM(H4:H7)</f>
        <v>1707</v>
      </c>
      <c r="I8" s="18"/>
      <c r="J8" s="34"/>
    </row>
    <row r="9" spans="1:10" ht="30" customHeight="1">
      <c r="A9" s="29" t="s">
        <v>16</v>
      </c>
      <c r="B9" s="29"/>
      <c r="C9" s="21" t="s">
        <v>17</v>
      </c>
      <c r="D9" s="29" t="s">
        <v>18</v>
      </c>
      <c r="E9" s="29"/>
      <c r="F9" s="29"/>
      <c r="G9" s="29"/>
      <c r="H9" s="29"/>
      <c r="I9" s="29"/>
      <c r="J9" s="35"/>
    </row>
    <row r="10" spans="1:10" ht="30" customHeight="1">
      <c r="A10" s="29"/>
      <c r="B10" s="29"/>
      <c r="C10" s="22" t="s">
        <v>19</v>
      </c>
      <c r="D10" s="29" t="s">
        <v>20</v>
      </c>
      <c r="E10" s="29"/>
      <c r="F10" s="29"/>
      <c r="G10" s="29"/>
      <c r="H10" s="29"/>
      <c r="I10" s="29"/>
      <c r="J10" s="35"/>
    </row>
    <row r="11" spans="1:10" ht="30" customHeight="1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</row>
    <row r="12" spans="1:10" ht="30" customHeight="1">
      <c r="A12" s="30" t="s">
        <v>21</v>
      </c>
      <c r="B12" s="32" t="s">
        <v>22</v>
      </c>
      <c r="C12" s="4">
        <v>1100278994</v>
      </c>
      <c r="D12" s="23" t="s">
        <v>23</v>
      </c>
      <c r="E12" s="6">
        <v>3900</v>
      </c>
      <c r="F12" s="24">
        <v>1</v>
      </c>
      <c r="G12" s="24">
        <v>1101</v>
      </c>
      <c r="H12" s="8">
        <f>F12*G12</f>
        <v>1101</v>
      </c>
      <c r="I12" s="9">
        <v>45986</v>
      </c>
      <c r="J12" s="32" t="s">
        <v>24</v>
      </c>
    </row>
    <row r="13" spans="1:10" ht="30" customHeight="1">
      <c r="A13" s="30"/>
      <c r="B13" s="32"/>
      <c r="C13" s="25">
        <v>1100284959</v>
      </c>
      <c r="D13" s="26" t="s">
        <v>25</v>
      </c>
      <c r="E13" s="6">
        <v>3900</v>
      </c>
      <c r="F13" s="24">
        <v>2</v>
      </c>
      <c r="G13" s="11">
        <v>458</v>
      </c>
      <c r="H13" s="8">
        <f>F13*G13</f>
        <v>916</v>
      </c>
      <c r="I13" s="9">
        <v>45986</v>
      </c>
      <c r="J13" s="34"/>
    </row>
    <row r="14" spans="1:10" ht="30" customHeight="1">
      <c r="A14" s="30"/>
      <c r="B14" s="32"/>
      <c r="C14" s="15"/>
      <c r="D14" s="13"/>
      <c r="E14" s="6"/>
      <c r="F14" s="14"/>
      <c r="G14" s="13"/>
      <c r="H14" s="8"/>
      <c r="I14" s="9"/>
      <c r="J14" s="34"/>
    </row>
    <row r="15" spans="1:10" ht="30" customHeight="1">
      <c r="A15" s="30"/>
      <c r="B15" s="32"/>
      <c r="C15" s="12"/>
      <c r="D15" s="15"/>
      <c r="E15" s="16"/>
      <c r="F15" s="17"/>
      <c r="G15" s="17"/>
      <c r="H15" s="8"/>
      <c r="I15" s="18"/>
      <c r="J15" s="34"/>
    </row>
    <row r="16" spans="1:10" ht="30" customHeight="1">
      <c r="A16" s="31"/>
      <c r="B16" s="33"/>
      <c r="C16" s="19"/>
      <c r="D16" s="19"/>
      <c r="E16" s="19"/>
      <c r="F16" s="10">
        <f>SUM(F12:F15)</f>
        <v>3</v>
      </c>
      <c r="G16" s="10"/>
      <c r="H16" s="20">
        <f>SUM(H12:H15)</f>
        <v>2017</v>
      </c>
      <c r="I16" s="18"/>
      <c r="J16" s="34"/>
    </row>
    <row r="17" spans="1:10" ht="30" customHeight="1">
      <c r="A17" s="29" t="s">
        <v>16</v>
      </c>
      <c r="B17" s="29"/>
      <c r="C17" s="21" t="s">
        <v>17</v>
      </c>
      <c r="D17" s="29" t="s">
        <v>18</v>
      </c>
      <c r="E17" s="29"/>
      <c r="F17" s="29"/>
      <c r="G17" s="29"/>
      <c r="H17" s="29"/>
      <c r="I17" s="29"/>
      <c r="J17" s="35"/>
    </row>
    <row r="18" spans="1:10" ht="30" customHeight="1">
      <c r="A18" s="29"/>
      <c r="B18" s="29"/>
      <c r="C18" s="22" t="s">
        <v>19</v>
      </c>
      <c r="D18" s="29" t="s">
        <v>20</v>
      </c>
      <c r="E18" s="29"/>
      <c r="F18" s="29"/>
      <c r="G18" s="29"/>
      <c r="H18" s="29"/>
      <c r="I18" s="29"/>
      <c r="J18" s="35"/>
    </row>
  </sheetData>
  <mergeCells count="16">
    <mergeCell ref="J12:J16"/>
    <mergeCell ref="J17:J18"/>
    <mergeCell ref="A9:B10"/>
    <mergeCell ref="A17:B18"/>
    <mergeCell ref="D17:I17"/>
    <mergeCell ref="D18:I18"/>
    <mergeCell ref="A4:A8"/>
    <mergeCell ref="A12:A16"/>
    <mergeCell ref="B4:B8"/>
    <mergeCell ref="B12:B16"/>
    <mergeCell ref="A1:J1"/>
    <mergeCell ref="A2:J2"/>
    <mergeCell ref="D9:I9"/>
    <mergeCell ref="D10:I10"/>
    <mergeCell ref="J4:J8"/>
    <mergeCell ref="J9:J10"/>
  </mergeCells>
  <phoneticPr fontId="16" type="noConversion"/>
  <printOptions horizontalCentered="1"/>
  <pageMargins left="0.156944444444444" right="0.156944444444444" top="0.23611111111111099" bottom="0.27500000000000002" header="0.156944444444444" footer="0.196527777777778"/>
  <pageSetup paperSize="9" scale="7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705863737@qq.com</cp:lastModifiedBy>
  <dcterms:created xsi:type="dcterms:W3CDTF">2018-09-03T08:22:00Z</dcterms:created>
  <dcterms:modified xsi:type="dcterms:W3CDTF">2025-11-25T08:00:39Z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