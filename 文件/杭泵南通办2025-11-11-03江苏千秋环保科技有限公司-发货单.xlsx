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90" windowHeight="11535" tabRatio="180"/>
  </bookViews>
  <sheets>
    <sheet name="Sheet" sheetId="82" r:id="rId1"/>
  </sheets>
  <definedNames>
    <definedName name="_xlnm.Print_Area" localSheetId="0">Sheet!$A$1:$J$11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<sst xmlns="http://schemas.openxmlformats.org/spreadsheetml/2006/main" count="27" uniqueCount="27">
  <si>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2025年11月11日订单  杭泵南通办2025111103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</si>
  <si>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吴琼 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135*******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</si>
  <si>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</si>
  <si>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</si>
  <si>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</si>
  <si>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</si>
  <si>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</si>
  <si>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</si>
  <si>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</si>
  <si>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</si>
  <si>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</si>
  <si>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</si>
  <si>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杭泵南通办2025111103</t>
  </si>
  <si>
    <t>江苏千秋环保科技有限公司</t>
  </si>
  <si>
    <t>CDL15-12FSWPC</t>
  </si>
  <si>
    <t>物流送货/江苏省/盐城市/盐都区龙乘北路6号，江苏弘策机电科技有限公司斜对面/刘洪春/15950221961</t>
  </si>
  <si>
    <t>CDL10-15FSWPC</t>
  </si>
  <si>
    <t>CDLF4-5FSWSC</t>
  </si>
  <si>
    <t>CHLF15-40LSWSC</t>
  </si>
  <si>
    <t>CHL12-30LSWSC</t>
  </si>
  <si>
    <t>CHL20-30LSWSC</t>
  </si>
  <si>
    <t>CHL4-30LSWSC</t>
  </si>
  <si>
    <t>合同号：H*****</t>
  </si>
  <si>
    <t>是否安装调试验收</t>
  </si>
  <si>
    <t>备注1：</t>
  </si>
  <si>
    <t>Y/N（是填"Y"否填"N"）</t>
  </si>
  <si>
    <t>备注2：一起发货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</si>
</sst>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2"/>
      <color rgb="FFFF0000"/>
      <name val="微软雅黑"/>
      <charset val="134"/>
    </font>
    <font>
      <b/>
      <sz val="12"/>
      <name val="微软雅黑"/>
      <charset val="134"/>
    </font>
    <font>
      <sz val="12"/>
      <color rgb="FF00B05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00B0F0"/>
      <name val="微软雅黑"/>
      <charset val="134"/>
    </font>
    <font>
      <b/>
      <sz val="20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28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1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31" fontId="8" fillId="0" borderId="1" xfId="0" applyNumberFormat="1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3"/>
  <sheetViews>
    <sheetView tabSelected="1" zoomScaleSheetLayoutView="87" workbookViewId="0">
      <selection activeCell="A16" sqref="A16"/>
    </sheetView>
  </sheetViews>
  <sheetFormatPr defaultColWidth="9" defaultRowHeight="30" customHeight="1"/>
  <cols>
    <col min="1" max="1" width="27.625" style="1" customWidth="1"/>
    <col min="2" max="2" width="17.775" style="1" customWidth="1"/>
    <col min="3" max="3" width="13.775" style="1" customWidth="1"/>
    <col min="4" max="4" width="47.775" style="3" customWidth="1"/>
    <col min="5" max="5" width="6.775" style="3" customWidth="1"/>
    <col min="6" max="6" width="6.775" style="1" customWidth="1"/>
    <col min="7" max="8" width="7.775" style="1" customWidth="1"/>
    <col min="9" max="9" width="18.5083333333333" style="1" customWidth="1"/>
    <col min="10" max="10" width="35.775" style="1" customWidth="1"/>
    <col min="11" max="16384" width="9" style="1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ht="17.25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2" customFormat="1" ht="34" customHeight="1" spans="1:10">
      <c r="A4" s="7" t="s">
        <v>12</v>
      </c>
      <c r="B4" s="8" t="s">
        <v>13</v>
      </c>
      <c r="C4" s="9">
        <v>1100279216</v>
      </c>
      <c r="D4" s="10" t="s">
        <v>14</v>
      </c>
      <c r="E4" s="11">
        <v>3900</v>
      </c>
      <c r="F4" s="10">
        <v>1</v>
      </c>
      <c r="G4" s="10">
        <v>4287</v>
      </c>
      <c r="H4" s="12">
        <f t="shared" ref="H4:H10" si="0">F4*G4</f>
        <v>4287</v>
      </c>
      <c r="I4" s="13">
        <v>45976</v>
      </c>
      <c r="J4" s="8" t="s">
        <v>15</v>
      </c>
    </row>
    <row r="5" s="2" customFormat="1" ht="34" customHeight="1" spans="1:10">
      <c r="A5" s="7"/>
      <c r="B5" s="8"/>
      <c r="C5" s="9">
        <v>1100279199</v>
      </c>
      <c r="D5" s="10" t="s">
        <v>16</v>
      </c>
      <c r="E5" s="11">
        <v>3900</v>
      </c>
      <c r="F5" s="10">
        <v>1</v>
      </c>
      <c r="G5" s="10">
        <v>3573</v>
      </c>
      <c r="H5" s="12">
        <f t="shared" si="0"/>
        <v>3573</v>
      </c>
      <c r="I5" s="13">
        <v>45976</v>
      </c>
      <c r="J5" s="8"/>
    </row>
    <row r="6" s="2" customFormat="1" ht="34" customHeight="1" spans="1:10">
      <c r="A6" s="7"/>
      <c r="B6" s="8"/>
      <c r="C6" s="9">
        <v>1100281132</v>
      </c>
      <c r="D6" s="10" t="s">
        <v>17</v>
      </c>
      <c r="E6" s="11">
        <v>3900</v>
      </c>
      <c r="F6" s="10">
        <v>2</v>
      </c>
      <c r="G6" s="10">
        <v>1096</v>
      </c>
      <c r="H6" s="12">
        <f t="shared" si="0"/>
        <v>2192</v>
      </c>
      <c r="I6" s="13">
        <v>45976</v>
      </c>
      <c r="J6" s="8"/>
    </row>
    <row r="7" s="2" customFormat="1" ht="34" customHeight="1" spans="1:10">
      <c r="A7" s="7"/>
      <c r="B7" s="8"/>
      <c r="C7" s="9">
        <v>1100285066</v>
      </c>
      <c r="D7" s="10" t="s">
        <v>18</v>
      </c>
      <c r="E7" s="11">
        <v>3900</v>
      </c>
      <c r="F7" s="10">
        <v>1</v>
      </c>
      <c r="G7" s="10">
        <v>2335</v>
      </c>
      <c r="H7" s="12">
        <f t="shared" si="0"/>
        <v>2335</v>
      </c>
      <c r="I7" s="13">
        <v>45976</v>
      </c>
      <c r="J7" s="8"/>
    </row>
    <row r="8" s="2" customFormat="1" ht="34" customHeight="1" spans="1:10">
      <c r="A8" s="7"/>
      <c r="B8" s="8"/>
      <c r="C8" s="14">
        <v>1100284813</v>
      </c>
      <c r="D8" s="10" t="s">
        <v>19</v>
      </c>
      <c r="E8" s="11">
        <v>3900</v>
      </c>
      <c r="F8" s="10">
        <v>1</v>
      </c>
      <c r="G8" s="10">
        <v>1527</v>
      </c>
      <c r="H8" s="12">
        <f t="shared" si="0"/>
        <v>1527</v>
      </c>
      <c r="I8" s="13">
        <v>45976</v>
      </c>
      <c r="J8" s="15"/>
    </row>
    <row r="9" s="1" customFormat="1" ht="34" customHeight="1" spans="1:10">
      <c r="A9" s="7"/>
      <c r="B9" s="8"/>
      <c r="C9" s="14">
        <v>1100284896</v>
      </c>
      <c r="D9" s="10" t="s">
        <v>20</v>
      </c>
      <c r="E9" s="11">
        <v>3900</v>
      </c>
      <c r="F9" s="10">
        <v>1</v>
      </c>
      <c r="G9" s="10">
        <v>2165</v>
      </c>
      <c r="H9" s="12">
        <f t="shared" si="0"/>
        <v>2165</v>
      </c>
      <c r="I9" s="13">
        <v>45976</v>
      </c>
      <c r="J9" s="15"/>
    </row>
    <row r="10" s="1" customFormat="1" ht="34" customHeight="1" spans="1:10">
      <c r="A10" s="7"/>
      <c r="B10" s="8"/>
      <c r="C10" s="16">
        <v>1100284967</v>
      </c>
      <c r="D10" s="10" t="s">
        <v>21</v>
      </c>
      <c r="E10" s="11">
        <v>3900</v>
      </c>
      <c r="F10" s="10">
        <v>1</v>
      </c>
      <c r="G10" s="12">
        <v>565</v>
      </c>
      <c r="H10" s="12">
        <f t="shared" si="0"/>
        <v>565</v>
      </c>
      <c r="I10" s="13">
        <v>45976</v>
      </c>
      <c r="J10" s="15"/>
    </row>
    <row r="11" s="1" customFormat="1" ht="34" customHeight="1" spans="1:10">
      <c r="A11" s="17"/>
      <c r="B11" s="18"/>
      <c r="C11" s="6"/>
      <c r="D11" s="12"/>
      <c r="E11" s="6"/>
      <c r="F11" s="10">
        <f>SUM(F4:F10)</f>
        <v>8</v>
      </c>
      <c r="G11" s="10"/>
      <c r="H11" s="12">
        <f>SUM(H4:H10)</f>
        <v>16644</v>
      </c>
      <c r="I11" s="19"/>
      <c r="J11" s="15"/>
    </row>
    <row r="12" ht="44" customHeight="1" spans="1:10">
      <c r="A12" s="16" t="s">
        <v>22</v>
      </c>
      <c r="B12" s="16"/>
      <c r="C12" s="16" t="s">
        <v>23</v>
      </c>
      <c r="D12" s="16" t="s">
        <v>24</v>
      </c>
      <c r="E12" s="16"/>
      <c r="F12" s="16"/>
      <c r="G12" s="16"/>
      <c r="H12" s="16"/>
      <c r="I12" s="16"/>
      <c r="J12" s="6"/>
    </row>
    <row r="13" ht="48" customHeight="1" spans="1:10">
      <c r="A13" s="16"/>
      <c r="B13" s="16"/>
      <c r="C13" s="14" t="s">
        <v>25</v>
      </c>
      <c r="D13" s="16" t="s">
        <v>26</v>
      </c>
      <c r="E13" s="16"/>
      <c r="F13" s="16"/>
      <c r="G13" s="16"/>
      <c r="H13" s="16"/>
      <c r="I13" s="16"/>
      <c r="J13" s="6"/>
    </row>
  </sheetData>
  <mergeCells count="9">
    <mergeCell ref="A1:J1"/>
    <mergeCell ref="A2:J2"/>
    <mergeCell ref="D12:I12"/>
    <mergeCell ref="D13:I13"/>
    <mergeCell ref="A4:A11"/>
    <mergeCell ref="B4:B11"/>
    <mergeCell ref="J4:J11"/>
    <mergeCell ref="J12:J13"/>
    <mergeCell ref="A12:B13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2025-11-11T05:41:10Z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