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0752" windowHeight="9555" tabRatio="180"/>
  </bookViews>
  <sheets>
    <sheet name="Sheet" sheetId="82" r:id="rId1"/>
  </sheets>
  <definedNames>
    <definedName name="_xlnm.Print_Area" localSheetId="0">Sheet!$A$29:$J$46</definedName>
    <definedName name="_xlnm._FilterDatabase" localSheetId="0" hidden="1">Sheet!#REF!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<sst xmlns="http://schemas.openxmlformats.org/spreadsheetml/2006/main" count="104" uniqueCount="54">
  <si>
    <t>杭州南泵流体机械有限公司发货通知单2025年（11月07日发货单）福州办25110705</t>
  </si>
  <si>
    <r>
      <rPr>
        <b/>
        <sz val="18"/>
        <rFont val="宋体"/>
        <charset val="134"/>
        <scheme val="minor"/>
      </rPr>
      <t>发件人：徐然</t>
    </r>
    <r>
      <rPr>
        <b/>
        <sz val="18"/>
        <color rgb="FFFF0000"/>
        <rFont val="宋体"/>
        <charset val="134"/>
        <scheme val="minor"/>
      </rPr>
      <t xml:space="preserve">  联系电话：0571-88888888  收件工厂：3900工厂</t>
    </r>
  </si>
  <si>
    <t>编号</t>
  </si>
  <si>
    <t>客户名称</t>
  </si>
  <si>
    <t>物料号</t>
  </si>
  <si>
    <t>水 泵 型 号</t>
  </si>
  <si>
    <t>工厂</t>
  </si>
  <si>
    <t>数量</t>
  </si>
  <si>
    <t>单 价</t>
  </si>
  <si>
    <t>金 额</t>
  </si>
  <si>
    <t>交期</t>
  </si>
  <si>
    <r>
      <rPr>
        <b/>
        <sz val="18"/>
        <rFont val="微软雅黑"/>
        <charset val="134"/>
      </rPr>
      <t>收货人信息</t>
    </r>
    <r>
      <rPr>
        <b/>
        <sz val="18"/>
        <color rgb="FF00B0F0"/>
        <rFont val="微软雅黑"/>
        <charset val="134"/>
      </rPr>
      <t>（斜杠必须要有）</t>
    </r>
  </si>
  <si>
    <t>福州办2025-11-07-05</t>
  </si>
  <si>
    <t>广州美固环保设备有限公司</t>
  </si>
  <si>
    <t>CHL8-30LSWSC</t>
  </si>
  <si>
    <t>物流送货/广东省/广州市/白云区/人和镇/鹤前西路36号/张玉环/18028856681</t>
  </si>
  <si>
    <t>CDLF4-14LSWSC</t>
  </si>
  <si>
    <t>CDLF4-19LSWSC</t>
  </si>
  <si>
    <t>CDLF8-14FSWSC</t>
  </si>
  <si>
    <t>合计：</t>
  </si>
  <si>
    <t>合同号：H000888888</t>
  </si>
  <si>
    <t>是否安装调试验收</t>
  </si>
  <si>
    <t>备注1：111</t>
  </si>
  <si>
    <t>（不要填写内容）</t>
  </si>
  <si>
    <t>N</t>
  </si>
  <si>
    <t>备注2：附送货单、现货先发</t>
  </si>
  <si>
    <t>河南伊怀普道环保设备有限公司</t>
  </si>
  <si>
    <t>CDL4-16FSWPC</t>
  </si>
  <si>
    <t>物流送货/河南省/新郑市/郭店镇/合欢路与天辰路交汇处大华物流园旁枫林酒店院内/牛志强/15517175576</t>
  </si>
  <si>
    <t>CDL8-12FSWPC</t>
  </si>
  <si>
    <t>CDL12-10FSWPC</t>
  </si>
  <si>
    <t>CDL15-12FSWPC</t>
  </si>
  <si>
    <t>CHL4-40LSWSC</t>
  </si>
  <si>
    <t>CHL8-40LSWSC</t>
  </si>
  <si>
    <t>CHL12-30LSWSC</t>
  </si>
  <si>
    <t>CHL12-40LSWSC</t>
  </si>
  <si>
    <t>NPS2-9YDWPC</t>
  </si>
  <si>
    <t>NPS2-11YDWPC</t>
  </si>
  <si>
    <t>JET550-DS</t>
  </si>
  <si>
    <t>JET750-DS</t>
  </si>
  <si>
    <t>备注1：222</t>
  </si>
  <si>
    <t>备注2：附送货单、现货发</t>
  </si>
  <si>
    <t>辽宁华膜水处理环保设备有限公司</t>
  </si>
  <si>
    <t>CDLF12-5FSWSC</t>
  </si>
  <si>
    <t>物流送货/辽宁省/沈阳市/铁西经济开发区二十三号路87-1号辽宁孚诺泰/苏庆航/13998869120</t>
  </si>
  <si>
    <t>CDLF15-4FSWSC</t>
  </si>
  <si>
    <t>CDL20-3FSWPC</t>
  </si>
  <si>
    <t>CDL20-6FSWPC</t>
  </si>
  <si>
    <t>CDL85-20-2FSWPC</t>
  </si>
  <si>
    <t>备注1：333</t>
  </si>
  <si>
    <t>无锡双福环保设备有限公司</t>
  </si>
  <si>
    <t>CHLF4-60LSWSC</t>
  </si>
  <si>
    <t>物流送货/江苏省/无锡市/宜兴市/远东大道172号江苏恒沁源环保科技有限公司车间周日无人收货不要派送/陈志文/+86-13995960457</t>
  </si>
  <si>
    <t>备注1：444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</si>
</sst>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8">
    <font>
      <sz val="11"/>
      <color theme="1"/>
      <name val="宋体"/>
      <charset val="134"/>
      <scheme val="minor"/>
    </font>
    <font>
      <b/>
      <sz val="18"/>
      <color theme="1"/>
      <name val="宋体"/>
      <charset val="134"/>
      <scheme val="minor"/>
    </font>
    <font>
      <b/>
      <sz val="18"/>
      <name val="宋体"/>
      <charset val="134"/>
      <scheme val="minor"/>
    </font>
    <font>
      <b/>
      <sz val="18"/>
      <name val="微软雅黑"/>
      <charset val="134"/>
    </font>
    <font>
      <b/>
      <sz val="18"/>
      <name val="宋体"/>
      <charset val="134"/>
    </font>
    <font>
      <b/>
      <sz val="18"/>
      <color rgb="FFFF0000"/>
      <name val="宋体"/>
      <charset val="134"/>
      <scheme val="minor"/>
    </font>
    <font>
      <b/>
      <sz val="18"/>
      <color rgb="FFFF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2"/>
      <name val="宋体"/>
      <charset val="134"/>
    </font>
    <font>
      <b/>
      <sz val="18"/>
      <color rgb="FF00B0F0"/>
      <name val="微软雅黑"/>
      <charset val="134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3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5" borderId="1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12" applyNumberFormat="0" applyFill="0" applyAlignment="0" applyProtection="0">
      <alignment vertical="center"/>
    </xf>
    <xf numFmtId="0" fontId="13" fillId="0" borderId="12" applyNumberFormat="0" applyFill="0" applyAlignment="0" applyProtection="0">
      <alignment vertical="center"/>
    </xf>
    <xf numFmtId="0" fontId="14" fillId="0" borderId="1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6" borderId="14" applyNumberFormat="0" applyAlignment="0" applyProtection="0">
      <alignment vertical="center"/>
    </xf>
    <xf numFmtId="0" fontId="16" fillId="7" borderId="15" applyNumberFormat="0" applyAlignment="0" applyProtection="0">
      <alignment vertical="center"/>
    </xf>
    <xf numFmtId="0" fontId="17" fillId="7" borderId="14" applyNumberFormat="0" applyAlignment="0" applyProtection="0">
      <alignment vertical="center"/>
    </xf>
    <xf numFmtId="0" fontId="18" fillId="8" borderId="16" applyNumberFormat="0" applyAlignment="0" applyProtection="0">
      <alignment vertical="center"/>
    </xf>
    <xf numFmtId="0" fontId="19" fillId="0" borderId="17" applyNumberFormat="0" applyFill="0" applyAlignment="0" applyProtection="0">
      <alignment vertical="center"/>
    </xf>
    <xf numFmtId="0" fontId="20" fillId="0" borderId="18" applyNumberFormat="0" applyFill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6" fillId="0" borderId="0">
      <alignment vertical="center"/>
    </xf>
    <xf numFmtId="0" fontId="26" fillId="0" borderId="0"/>
    <xf numFmtId="0" fontId="26" fillId="0" borderId="0"/>
    <xf numFmtId="0" fontId="26" fillId="0" borderId="0">
      <alignment vertical="center"/>
    </xf>
  </cellStyleXfs>
  <cellXfs count="28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2" fillId="0" borderId="2" xfId="0" applyNumberFormat="1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31" fontId="3" fillId="2" borderId="2" xfId="0" applyNumberFormat="1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0" borderId="1" xfId="0" applyFont="1" applyBorder="1" applyAlignment="1">
      <alignment vertical="center"/>
    </xf>
    <xf numFmtId="176" fontId="4" fillId="3" borderId="1" xfId="0" applyNumberFormat="1" applyFont="1" applyFill="1" applyBorder="1" applyAlignment="1" applyProtection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0" borderId="7" xfId="0" applyFont="1" applyBorder="1" applyAlignment="1">
      <alignment horizontal="left" vertical="center" wrapText="1"/>
    </xf>
    <xf numFmtId="0" fontId="5" fillId="0" borderId="8" xfId="0" applyFont="1" applyBorder="1" applyAlignment="1">
      <alignment horizontal="left" vertical="center" wrapText="1"/>
    </xf>
    <xf numFmtId="0" fontId="2" fillId="0" borderId="2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2" fillId="0" borderId="7" xfId="0" applyFont="1" applyBorder="1" applyAlignment="1">
      <alignment horizontal="left" vertical="center" wrapText="1"/>
    </xf>
    <xf numFmtId="0" fontId="2" fillId="0" borderId="8" xfId="0" applyFont="1" applyBorder="1" applyAlignment="1">
      <alignment horizontal="left" vertical="center" wrapText="1"/>
    </xf>
    <xf numFmtId="0" fontId="2" fillId="0" borderId="4" xfId="0" applyFont="1" applyBorder="1" applyAlignment="1">
      <alignment horizontal="center" vertical="center"/>
    </xf>
  </cellXfs>
  <cellStyles count="53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11 10 2" xfId="49"/>
    <cellStyle name="常规 2 2" xfId="50"/>
    <cellStyle name="常规_Sheet1" xfId="51"/>
    <cellStyle name="常规 2 10 2" xfId="52"/>
  </cellStyles>
  <tableStyles count="0" defaultTableStyle="TableStyleMedium2" defaultPivotStyle="PivotStyleLight16"/>
  <colors>
    <mruColors>
      <color rgb="00000000"/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>
    <pageSetUpPr fitToPage="1"/>
  </sheetPr>
  <dimension ref="A1:J46"/>
  <sheetViews>
    <sheetView tabSelected="1" view="pageBreakPreview" zoomScale="70" zoomScaleNormal="100" topLeftCell="A31" workbookViewId="0">
      <selection activeCell="H49" sqref="H49"/>
    </sheetView>
  </sheetViews>
  <sheetFormatPr defaultColWidth="9" defaultRowHeight="30" customHeight="1"/>
  <cols>
    <col min="1" max="1" width="27.6283185840708" style="1" customWidth="1"/>
    <col min="2" max="2" width="39.5044247787611" style="1" customWidth="1"/>
    <col min="3" max="3" width="27.858407079646" style="1" customWidth="1"/>
    <col min="4" max="4" width="47.7787610619469" style="2" customWidth="1"/>
    <col min="5" max="5" width="11.5044247787611" style="2" customWidth="1"/>
    <col min="6" max="8" width="11.7610619469027" style="1" customWidth="1"/>
    <col min="9" max="9" width="29.6017699115044" style="1" customWidth="1"/>
    <col min="10" max="10" width="56.0353982300885" style="1" customWidth="1"/>
    <col min="11" max="16384" width="9" style="1"/>
  </cols>
  <sheetData>
    <row r="1" s="1" customFormat="1" customHeight="1" spans="1:10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</row>
    <row r="2" s="1" customFormat="1" customHeight="1" spans="1:10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</row>
    <row r="3" customHeight="1" spans="1:10">
      <c r="A3" s="3" t="s">
        <v>2</v>
      </c>
      <c r="B3" s="4" t="s">
        <v>3</v>
      </c>
      <c r="C3" s="3" t="s">
        <v>4</v>
      </c>
      <c r="D3" s="3" t="s">
        <v>5</v>
      </c>
      <c r="E3" s="5" t="s">
        <v>6</v>
      </c>
      <c r="F3" s="3" t="s">
        <v>7</v>
      </c>
      <c r="G3" s="3" t="s">
        <v>8</v>
      </c>
      <c r="H3" s="3" t="s">
        <v>9</v>
      </c>
      <c r="I3" s="5" t="s">
        <v>10</v>
      </c>
      <c r="J3" s="6" t="s">
        <v>11</v>
      </c>
    </row>
    <row r="4" customHeight="1" spans="1:10">
      <c r="A4" s="7" t="s">
        <v>12</v>
      </c>
      <c r="B4" s="7" t="s">
        <v>13</v>
      </c>
      <c r="C4" s="8">
        <v>1100193816</v>
      </c>
      <c r="D4" s="7" t="s">
        <v>14</v>
      </c>
      <c r="E4" s="9">
        <v>3900</v>
      </c>
      <c r="F4" s="3">
        <v>4</v>
      </c>
      <c r="G4" s="3">
        <v>1139</v>
      </c>
      <c r="H4" s="3">
        <f>G4*F4</f>
        <v>4556</v>
      </c>
      <c r="I4" s="10">
        <v>45969</v>
      </c>
      <c r="J4" s="7" t="s">
        <v>15</v>
      </c>
    </row>
    <row r="5" customHeight="1" spans="1:10">
      <c r="A5" s="11"/>
      <c r="B5" s="11"/>
      <c r="C5" s="8">
        <v>1100281032</v>
      </c>
      <c r="D5" s="7" t="s">
        <v>16</v>
      </c>
      <c r="E5" s="9">
        <v>3900</v>
      </c>
      <c r="F5" s="3">
        <v>4</v>
      </c>
      <c r="G5" s="3">
        <v>1641</v>
      </c>
      <c r="H5" s="3">
        <f>G5*F5</f>
        <v>6564</v>
      </c>
      <c r="I5" s="10">
        <v>45972</v>
      </c>
      <c r="J5" s="11"/>
    </row>
    <row r="6" customHeight="1" spans="1:10">
      <c r="A6" s="11"/>
      <c r="B6" s="11"/>
      <c r="C6" s="8">
        <v>1100281548</v>
      </c>
      <c r="D6" s="7" t="s">
        <v>17</v>
      </c>
      <c r="E6" s="9">
        <v>3900</v>
      </c>
      <c r="F6" s="3">
        <v>4</v>
      </c>
      <c r="G6" s="3">
        <v>2174</v>
      </c>
      <c r="H6" s="3">
        <f>G6*F6</f>
        <v>8696</v>
      </c>
      <c r="I6" s="10">
        <v>45972</v>
      </c>
      <c r="J6" s="11"/>
    </row>
    <row r="7" customHeight="1" spans="1:10">
      <c r="A7" s="11"/>
      <c r="B7" s="11"/>
      <c r="C7" s="8">
        <v>1100151088</v>
      </c>
      <c r="D7" s="7" t="s">
        <v>18</v>
      </c>
      <c r="E7" s="9">
        <v>3900</v>
      </c>
      <c r="F7" s="3">
        <v>1</v>
      </c>
      <c r="G7" s="3">
        <v>3354</v>
      </c>
      <c r="H7" s="3">
        <f>G7*F7</f>
        <v>3354</v>
      </c>
      <c r="I7" s="10">
        <v>45969</v>
      </c>
      <c r="J7" s="11"/>
    </row>
    <row r="8" customHeight="1" spans="1:10">
      <c r="A8" s="11"/>
      <c r="B8" s="11"/>
      <c r="C8" s="8"/>
      <c r="D8" s="7"/>
      <c r="E8" s="9"/>
      <c r="F8" s="3"/>
      <c r="G8" s="3"/>
      <c r="H8" s="3"/>
      <c r="I8" s="10"/>
      <c r="J8" s="11"/>
    </row>
    <row r="9" customHeight="1" spans="1:10">
      <c r="A9" s="12"/>
      <c r="B9" s="12"/>
      <c r="C9" s="13"/>
      <c r="D9" s="3" t="s">
        <v>19</v>
      </c>
      <c r="E9" s="3"/>
      <c r="F9" s="14">
        <f>SUM(F4:F8)</f>
        <v>13</v>
      </c>
      <c r="G9" s="3"/>
      <c r="H9" s="3">
        <f>SUM(H4:H8)</f>
        <v>23170</v>
      </c>
      <c r="I9" s="15"/>
      <c r="J9" s="11"/>
    </row>
    <row r="10" customHeight="1" spans="1:10">
      <c r="A10" s="16" t="s">
        <v>20</v>
      </c>
      <c r="B10" s="17"/>
      <c r="C10" s="18" t="s">
        <v>21</v>
      </c>
      <c r="D10" s="19" t="s">
        <v>22</v>
      </c>
      <c r="E10" s="20"/>
      <c r="F10" s="20"/>
      <c r="G10" s="20"/>
      <c r="H10" s="20"/>
      <c r="I10" s="20"/>
      <c r="J10" s="21" t="s">
        <v>23</v>
      </c>
    </row>
    <row r="11" customHeight="1" spans="1:10">
      <c r="A11" s="22"/>
      <c r="B11" s="23"/>
      <c r="C11" s="24" t="s">
        <v>24</v>
      </c>
      <c r="D11" s="25" t="s">
        <v>25</v>
      </c>
      <c r="E11" s="26"/>
      <c r="F11" s="26"/>
      <c r="G11" s="26"/>
      <c r="H11" s="26"/>
      <c r="I11" s="26"/>
      <c r="J11" s="27"/>
    </row>
    <row r="12" customHeight="1" spans="1:10">
      <c r="A12" s="3" t="s">
        <v>2</v>
      </c>
      <c r="B12" s="4" t="s">
        <v>3</v>
      </c>
      <c r="C12" s="3" t="s">
        <v>4</v>
      </c>
      <c r="D12" s="3" t="s">
        <v>5</v>
      </c>
      <c r="E12" s="5" t="s">
        <v>6</v>
      </c>
      <c r="F12" s="3" t="s">
        <v>7</v>
      </c>
      <c r="G12" s="3" t="s">
        <v>8</v>
      </c>
      <c r="H12" s="3" t="s">
        <v>9</v>
      </c>
      <c r="I12" s="5" t="s">
        <v>10</v>
      </c>
      <c r="J12" s="6" t="s">
        <v>11</v>
      </c>
    </row>
    <row r="13" customHeight="1" spans="1:10">
      <c r="A13" s="7" t="s">
        <v>12</v>
      </c>
      <c r="B13" s="7" t="s">
        <v>26</v>
      </c>
      <c r="C13" s="8">
        <v>1100143945</v>
      </c>
      <c r="D13" s="7" t="s">
        <v>27</v>
      </c>
      <c r="E13" s="9">
        <v>3900</v>
      </c>
      <c r="F13" s="3">
        <v>2</v>
      </c>
      <c r="G13" s="3">
        <v>1610</v>
      </c>
      <c r="H13" s="3">
        <f>G13*F13</f>
        <v>3220</v>
      </c>
      <c r="I13" s="10">
        <v>45969</v>
      </c>
      <c r="J13" s="7" t="s">
        <v>28</v>
      </c>
    </row>
    <row r="14" customHeight="1" spans="1:10">
      <c r="A14" s="11"/>
      <c r="B14" s="11"/>
      <c r="C14" s="8">
        <v>1100279181</v>
      </c>
      <c r="D14" s="7" t="s">
        <v>29</v>
      </c>
      <c r="E14" s="9">
        <v>3900</v>
      </c>
      <c r="F14" s="3">
        <v>4</v>
      </c>
      <c r="G14" s="3">
        <v>2801</v>
      </c>
      <c r="H14" s="3">
        <f t="shared" ref="H14:H24" si="0">G14*F14</f>
        <v>11204</v>
      </c>
      <c r="I14" s="10">
        <v>45969</v>
      </c>
      <c r="J14" s="11"/>
    </row>
    <row r="15" customHeight="1" spans="1:10">
      <c r="A15" s="11"/>
      <c r="B15" s="11"/>
      <c r="C15" s="8">
        <v>1100134676</v>
      </c>
      <c r="D15" s="7" t="s">
        <v>30</v>
      </c>
      <c r="E15" s="9">
        <v>3900</v>
      </c>
      <c r="F15" s="3">
        <v>4</v>
      </c>
      <c r="G15" s="3">
        <v>2995</v>
      </c>
      <c r="H15" s="3">
        <f t="shared" si="0"/>
        <v>11980</v>
      </c>
      <c r="I15" s="10">
        <v>45969</v>
      </c>
      <c r="J15" s="11"/>
    </row>
    <row r="16" customHeight="1" spans="1:10">
      <c r="A16" s="11"/>
      <c r="B16" s="11"/>
      <c r="C16" s="8">
        <v>1100279216</v>
      </c>
      <c r="D16" s="7" t="s">
        <v>31</v>
      </c>
      <c r="E16" s="9">
        <v>3900</v>
      </c>
      <c r="F16" s="3">
        <v>2</v>
      </c>
      <c r="G16" s="3">
        <v>4019</v>
      </c>
      <c r="H16" s="3">
        <f t="shared" si="0"/>
        <v>8038</v>
      </c>
      <c r="I16" s="10">
        <v>45969</v>
      </c>
      <c r="J16" s="11"/>
    </row>
    <row r="17" customHeight="1" spans="1:10">
      <c r="A17" s="11"/>
      <c r="B17" s="11"/>
      <c r="C17" s="8">
        <v>1100215106</v>
      </c>
      <c r="D17" s="7" t="s">
        <v>32</v>
      </c>
      <c r="E17" s="9">
        <v>3900</v>
      </c>
      <c r="F17" s="3">
        <v>5</v>
      </c>
      <c r="G17" s="3">
        <v>601</v>
      </c>
      <c r="H17" s="3">
        <f t="shared" si="0"/>
        <v>3005</v>
      </c>
      <c r="I17" s="10">
        <v>45969</v>
      </c>
      <c r="J17" s="11"/>
    </row>
    <row r="18" customHeight="1" spans="1:10">
      <c r="A18" s="11"/>
      <c r="B18" s="11"/>
      <c r="C18" s="8">
        <v>1100284814</v>
      </c>
      <c r="D18" s="7" t="s">
        <v>33</v>
      </c>
      <c r="E18" s="9">
        <v>3900</v>
      </c>
      <c r="F18" s="3">
        <v>5</v>
      </c>
      <c r="G18" s="3">
        <v>1186</v>
      </c>
      <c r="H18" s="3">
        <f t="shared" si="0"/>
        <v>5930</v>
      </c>
      <c r="I18" s="10">
        <v>45969</v>
      </c>
      <c r="J18" s="11"/>
    </row>
    <row r="19" customHeight="1" spans="1:10">
      <c r="A19" s="11"/>
      <c r="B19" s="11"/>
      <c r="C19" s="8">
        <v>1100284813</v>
      </c>
      <c r="D19" s="7" t="s">
        <v>34</v>
      </c>
      <c r="E19" s="9">
        <v>3900</v>
      </c>
      <c r="F19" s="3">
        <v>5</v>
      </c>
      <c r="G19" s="3">
        <v>1430</v>
      </c>
      <c r="H19" s="3">
        <f t="shared" si="0"/>
        <v>7150</v>
      </c>
      <c r="I19" s="10">
        <v>45969</v>
      </c>
      <c r="J19" s="11"/>
    </row>
    <row r="20" customHeight="1" spans="1:10">
      <c r="A20" s="11"/>
      <c r="B20" s="11"/>
      <c r="C20" s="8">
        <v>1100284935</v>
      </c>
      <c r="D20" s="7" t="s">
        <v>35</v>
      </c>
      <c r="E20" s="9">
        <v>3900</v>
      </c>
      <c r="F20" s="3">
        <v>5</v>
      </c>
      <c r="G20" s="3">
        <v>1568</v>
      </c>
      <c r="H20" s="3">
        <f t="shared" si="0"/>
        <v>7840</v>
      </c>
      <c r="I20" s="10">
        <v>45969</v>
      </c>
      <c r="J20" s="11"/>
    </row>
    <row r="21" customHeight="1" spans="1:10">
      <c r="A21" s="11"/>
      <c r="B21" s="11"/>
      <c r="C21" s="8">
        <v>1100399980</v>
      </c>
      <c r="D21" s="7" t="s">
        <v>36</v>
      </c>
      <c r="E21" s="9">
        <v>3900</v>
      </c>
      <c r="F21" s="3">
        <v>10</v>
      </c>
      <c r="G21" s="3">
        <v>856</v>
      </c>
      <c r="H21" s="3">
        <f t="shared" si="0"/>
        <v>8560</v>
      </c>
      <c r="I21" s="10">
        <v>45996</v>
      </c>
      <c r="J21" s="11"/>
    </row>
    <row r="22" customHeight="1" spans="1:10">
      <c r="A22" s="11"/>
      <c r="B22" s="11"/>
      <c r="C22" s="8">
        <v>1100399982</v>
      </c>
      <c r="D22" s="7" t="s">
        <v>37</v>
      </c>
      <c r="E22" s="9">
        <v>3900</v>
      </c>
      <c r="F22" s="3">
        <v>10</v>
      </c>
      <c r="G22" s="3">
        <v>910</v>
      </c>
      <c r="H22" s="3">
        <f t="shared" si="0"/>
        <v>9100</v>
      </c>
      <c r="I22" s="10">
        <v>45996</v>
      </c>
      <c r="J22" s="11"/>
    </row>
    <row r="23" customHeight="1" spans="1:10">
      <c r="A23" s="11"/>
      <c r="B23" s="11"/>
      <c r="C23" s="8">
        <v>1100411876</v>
      </c>
      <c r="D23" s="7" t="s">
        <v>38</v>
      </c>
      <c r="E23" s="9">
        <v>3900</v>
      </c>
      <c r="F23" s="3">
        <v>10</v>
      </c>
      <c r="G23" s="3">
        <v>378</v>
      </c>
      <c r="H23" s="3">
        <f t="shared" si="0"/>
        <v>3780</v>
      </c>
      <c r="I23" s="10">
        <v>45985</v>
      </c>
      <c r="J23" s="11"/>
    </row>
    <row r="24" customHeight="1" spans="1:10">
      <c r="A24" s="11"/>
      <c r="B24" s="11"/>
      <c r="C24" s="8">
        <v>1100411877</v>
      </c>
      <c r="D24" s="7" t="s">
        <v>39</v>
      </c>
      <c r="E24" s="9">
        <v>3900</v>
      </c>
      <c r="F24" s="3">
        <v>10</v>
      </c>
      <c r="G24" s="3">
        <v>418</v>
      </c>
      <c r="H24" s="3">
        <f t="shared" si="0"/>
        <v>4180</v>
      </c>
      <c r="I24" s="10">
        <v>45985</v>
      </c>
      <c r="J24" s="11"/>
    </row>
    <row r="25" customHeight="1" spans="1:10">
      <c r="A25" s="11"/>
      <c r="B25" s="11"/>
      <c r="C25" s="8"/>
      <c r="D25" s="7"/>
      <c r="E25" s="9"/>
      <c r="F25" s="3"/>
      <c r="G25" s="3"/>
      <c r="H25" s="3"/>
      <c r="I25" s="10"/>
      <c r="J25" s="11"/>
    </row>
    <row r="26" customHeight="1" spans="1:10">
      <c r="A26" s="12"/>
      <c r="B26" s="12"/>
      <c r="C26" s="13"/>
      <c r="D26" s="3" t="s">
        <v>19</v>
      </c>
      <c r="E26" s="3"/>
      <c r="F26" s="14">
        <f>SUM(F13:F25)</f>
        <v>72</v>
      </c>
      <c r="G26" s="3"/>
      <c r="H26" s="3">
        <f>SUM(H13:H25)</f>
        <v>83987</v>
      </c>
      <c r="I26" s="15"/>
      <c r="J26" s="11"/>
    </row>
    <row r="27" customHeight="1" spans="1:10">
      <c r="A27" s="16" t="s">
        <v>20</v>
      </c>
      <c r="B27" s="17"/>
      <c r="C27" s="18" t="s">
        <v>21</v>
      </c>
      <c r="D27" s="19" t="s">
        <v>40</v>
      </c>
      <c r="E27" s="20"/>
      <c r="F27" s="20"/>
      <c r="G27" s="20"/>
      <c r="H27" s="20"/>
      <c r="I27" s="20"/>
      <c r="J27" s="21" t="s">
        <v>23</v>
      </c>
    </row>
    <row r="28" customHeight="1" spans="1:10">
      <c r="A28" s="22"/>
      <c r="B28" s="23"/>
      <c r="C28" s="24" t="s">
        <v>24</v>
      </c>
      <c r="D28" s="25" t="s">
        <v>41</v>
      </c>
      <c r="E28" s="26"/>
      <c r="F28" s="26"/>
      <c r="G28" s="26"/>
      <c r="H28" s="26"/>
      <c r="I28" s="26"/>
      <c r="J28" s="27"/>
    </row>
    <row r="29" customHeight="1" spans="1:10">
      <c r="A29" s="3" t="s">
        <v>2</v>
      </c>
      <c r="B29" s="4" t="s">
        <v>3</v>
      </c>
      <c r="C29" s="3" t="s">
        <v>4</v>
      </c>
      <c r="D29" s="3" t="s">
        <v>5</v>
      </c>
      <c r="E29" s="5" t="s">
        <v>6</v>
      </c>
      <c r="F29" s="3" t="s">
        <v>7</v>
      </c>
      <c r="G29" s="3" t="s">
        <v>8</v>
      </c>
      <c r="H29" s="3" t="s">
        <v>9</v>
      </c>
      <c r="I29" s="5" t="s">
        <v>10</v>
      </c>
      <c r="J29" s="6" t="s">
        <v>11</v>
      </c>
    </row>
    <row r="30" customHeight="1" spans="1:10">
      <c r="A30" s="7" t="s">
        <v>12</v>
      </c>
      <c r="B30" s="7" t="s">
        <v>42</v>
      </c>
      <c r="C30" s="8">
        <v>1100280951</v>
      </c>
      <c r="D30" s="7" t="s">
        <v>43</v>
      </c>
      <c r="E30" s="9">
        <v>3900</v>
      </c>
      <c r="F30" s="3">
        <v>2</v>
      </c>
      <c r="G30" s="3">
        <v>1841</v>
      </c>
      <c r="H30" s="3">
        <f>G30*F30</f>
        <v>3682</v>
      </c>
      <c r="I30" s="10"/>
      <c r="J30" s="7" t="s">
        <v>44</v>
      </c>
    </row>
    <row r="31" customHeight="1" spans="1:10">
      <c r="A31" s="11"/>
      <c r="B31" s="11"/>
      <c r="C31" s="8">
        <v>1100206384</v>
      </c>
      <c r="D31" s="7" t="s">
        <v>45</v>
      </c>
      <c r="E31" s="9">
        <v>3900</v>
      </c>
      <c r="F31" s="3">
        <v>2</v>
      </c>
      <c r="G31" s="3">
        <v>2253</v>
      </c>
      <c r="H31" s="3">
        <f>G31*F31</f>
        <v>4506</v>
      </c>
      <c r="I31" s="10"/>
      <c r="J31" s="11"/>
    </row>
    <row r="32" customHeight="1" spans="1:10">
      <c r="A32" s="11"/>
      <c r="B32" s="11"/>
      <c r="C32" s="8">
        <v>1100142978</v>
      </c>
      <c r="D32" s="7" t="s">
        <v>46</v>
      </c>
      <c r="E32" s="9">
        <v>3900</v>
      </c>
      <c r="F32" s="3">
        <v>2</v>
      </c>
      <c r="G32" s="3">
        <v>2396</v>
      </c>
      <c r="H32" s="3">
        <f>G32*F32</f>
        <v>4792</v>
      </c>
      <c r="I32" s="10"/>
      <c r="J32" s="11"/>
    </row>
    <row r="33" customHeight="1" spans="1:10">
      <c r="A33" s="11"/>
      <c r="B33" s="11"/>
      <c r="C33" s="8">
        <v>1100143511</v>
      </c>
      <c r="D33" s="7" t="s">
        <v>47</v>
      </c>
      <c r="E33" s="9">
        <v>3900</v>
      </c>
      <c r="F33" s="3">
        <v>5</v>
      </c>
      <c r="G33" s="3">
        <v>3413</v>
      </c>
      <c r="H33" s="3">
        <f>G33*F33</f>
        <v>17065</v>
      </c>
      <c r="I33" s="10"/>
      <c r="J33" s="11"/>
    </row>
    <row r="34" customHeight="1" spans="1:10">
      <c r="A34" s="11"/>
      <c r="B34" s="11"/>
      <c r="C34" s="8">
        <v>1100280582</v>
      </c>
      <c r="D34" s="7" t="s">
        <v>48</v>
      </c>
      <c r="E34" s="9">
        <v>3900</v>
      </c>
      <c r="F34" s="3">
        <v>1</v>
      </c>
      <c r="G34" s="3">
        <v>5317</v>
      </c>
      <c r="H34" s="3">
        <f>G34*F34</f>
        <v>5317</v>
      </c>
      <c r="I34" s="10"/>
      <c r="J34" s="11"/>
    </row>
    <row r="35" customHeight="1" spans="1:10">
      <c r="A35" s="11"/>
      <c r="B35" s="11"/>
      <c r="C35" s="8"/>
      <c r="D35" s="7"/>
      <c r="E35" s="9"/>
      <c r="F35" s="3"/>
      <c r="G35" s="3"/>
      <c r="H35" s="3"/>
      <c r="I35" s="10"/>
      <c r="J35" s="11"/>
    </row>
    <row r="36" customHeight="1" spans="1:10">
      <c r="A36" s="11"/>
      <c r="B36" s="11"/>
      <c r="C36" s="8"/>
      <c r="D36" s="7"/>
      <c r="E36" s="9"/>
      <c r="F36" s="3"/>
      <c r="G36" s="3"/>
      <c r="H36" s="3"/>
      <c r="I36" s="10"/>
      <c r="J36" s="11"/>
    </row>
    <row r="37" customHeight="1" spans="1:10">
      <c r="A37" s="12"/>
      <c r="B37" s="12"/>
      <c r="C37" s="13"/>
      <c r="D37" s="3" t="s">
        <v>19</v>
      </c>
      <c r="E37" s="3"/>
      <c r="F37" s="14">
        <f>SUM(F30:F36)</f>
        <v>12</v>
      </c>
      <c r="G37" s="3"/>
      <c r="H37" s="3">
        <f>SUM(H30:H36)</f>
        <v>35362</v>
      </c>
      <c r="I37" s="15"/>
      <c r="J37" s="11"/>
    </row>
    <row r="38" customHeight="1" spans="1:10">
      <c r="A38" s="16" t="s">
        <v>20</v>
      </c>
      <c r="B38" s="17"/>
      <c r="C38" s="18" t="s">
        <v>21</v>
      </c>
      <c r="D38" s="19" t="s">
        <v>49</v>
      </c>
      <c r="E38" s="20"/>
      <c r="F38" s="20"/>
      <c r="G38" s="20"/>
      <c r="H38" s="20"/>
      <c r="I38" s="20"/>
      <c r="J38" s="21" t="s">
        <v>23</v>
      </c>
    </row>
    <row r="39" customHeight="1" spans="1:10">
      <c r="A39" s="22"/>
      <c r="B39" s="23"/>
      <c r="C39" s="24" t="s">
        <v>24</v>
      </c>
      <c r="D39" s="25" t="s">
        <v>41</v>
      </c>
      <c r="E39" s="26"/>
      <c r="F39" s="26"/>
      <c r="G39" s="26"/>
      <c r="H39" s="26"/>
      <c r="I39" s="26"/>
      <c r="J39" s="27"/>
    </row>
    <row r="40" customHeight="1" spans="1:10">
      <c r="A40" s="3" t="s">
        <v>2</v>
      </c>
      <c r="B40" s="4" t="s">
        <v>3</v>
      </c>
      <c r="C40" s="3" t="s">
        <v>4</v>
      </c>
      <c r="D40" s="3" t="s">
        <v>5</v>
      </c>
      <c r="E40" s="5" t="s">
        <v>6</v>
      </c>
      <c r="F40" s="3" t="s">
        <v>7</v>
      </c>
      <c r="G40" s="3" t="s">
        <v>8</v>
      </c>
      <c r="H40" s="3" t="s">
        <v>9</v>
      </c>
      <c r="I40" s="5" t="s">
        <v>10</v>
      </c>
      <c r="J40" s="6" t="s">
        <v>11</v>
      </c>
    </row>
    <row r="41" customHeight="1" spans="1:10">
      <c r="A41" s="7" t="s">
        <v>12</v>
      </c>
      <c r="B41" s="7" t="s">
        <v>50</v>
      </c>
      <c r="C41" s="8">
        <v>1100284951</v>
      </c>
      <c r="D41" s="7" t="s">
        <v>51</v>
      </c>
      <c r="E41" s="9">
        <v>3900</v>
      </c>
      <c r="F41" s="3">
        <v>1</v>
      </c>
      <c r="G41" s="3">
        <v>773</v>
      </c>
      <c r="H41" s="3">
        <f>G41*F41</f>
        <v>773</v>
      </c>
      <c r="I41" s="10"/>
      <c r="J41" s="7" t="s">
        <v>52</v>
      </c>
    </row>
    <row r="42" customHeight="1" spans="1:10">
      <c r="A42" s="11"/>
      <c r="B42" s="11"/>
      <c r="C42" s="8"/>
      <c r="D42" s="7"/>
      <c r="E42" s="9"/>
      <c r="F42" s="3"/>
      <c r="G42" s="3"/>
      <c r="H42" s="3"/>
      <c r="I42" s="10"/>
      <c r="J42" s="11"/>
    </row>
    <row r="43" customHeight="1" spans="1:10">
      <c r="A43" s="11"/>
      <c r="B43" s="11"/>
      <c r="C43" s="8"/>
      <c r="D43" s="7"/>
      <c r="E43" s="9"/>
      <c r="F43" s="3"/>
      <c r="G43" s="3"/>
      <c r="H43" s="3"/>
      <c r="I43" s="10"/>
      <c r="J43" s="11"/>
    </row>
    <row r="44" customHeight="1" spans="1:10">
      <c r="A44" s="12"/>
      <c r="B44" s="12"/>
      <c r="C44" s="13"/>
      <c r="D44" s="3" t="s">
        <v>19</v>
      </c>
      <c r="E44" s="3"/>
      <c r="F44" s="14">
        <f>SUM(F41:F43)</f>
        <v>1</v>
      </c>
      <c r="G44" s="3"/>
      <c r="H44" s="3">
        <f>SUM(H41:H43)</f>
        <v>773</v>
      </c>
      <c r="I44" s="15"/>
      <c r="J44" s="11"/>
    </row>
    <row r="45" customHeight="1" spans="1:10">
      <c r="A45" s="16" t="s">
        <v>20</v>
      </c>
      <c r="B45" s="17"/>
      <c r="C45" s="18" t="s">
        <v>21</v>
      </c>
      <c r="D45" s="19" t="s">
        <v>53</v>
      </c>
      <c r="E45" s="20"/>
      <c r="F45" s="20"/>
      <c r="G45" s="20"/>
      <c r="H45" s="20"/>
      <c r="I45" s="20"/>
      <c r="J45" s="21" t="s">
        <v>23</v>
      </c>
    </row>
    <row r="46" customHeight="1" spans="1:10">
      <c r="A46" s="22"/>
      <c r="B46" s="23"/>
      <c r="C46" s="24" t="s">
        <v>24</v>
      </c>
      <c r="D46" s="25" t="s">
        <v>41</v>
      </c>
      <c r="E46" s="26"/>
      <c r="F46" s="26"/>
      <c r="G46" s="26"/>
      <c r="H46" s="26"/>
      <c r="I46" s="26"/>
      <c r="J46" s="27"/>
    </row>
  </sheetData>
  <mergeCells count="30">
    <mergeCell ref="A1:J1"/>
    <mergeCell ref="A2:J2"/>
    <mergeCell ref="D10:I10"/>
    <mergeCell ref="D11:I11"/>
    <mergeCell ref="D27:I27"/>
    <mergeCell ref="D28:I28"/>
    <mergeCell ref="D38:I38"/>
    <mergeCell ref="D39:I39"/>
    <mergeCell ref="D45:I45"/>
    <mergeCell ref="D46:I46"/>
    <mergeCell ref="A4:A9"/>
    <mergeCell ref="A13:A26"/>
    <mergeCell ref="A30:A37"/>
    <mergeCell ref="A41:A44"/>
    <mergeCell ref="B4:B9"/>
    <mergeCell ref="B13:B26"/>
    <mergeCell ref="B30:B37"/>
    <mergeCell ref="B41:B44"/>
    <mergeCell ref="J4:J9"/>
    <mergeCell ref="J10:J11"/>
    <mergeCell ref="J13:J26"/>
    <mergeCell ref="J27:J28"/>
    <mergeCell ref="J30:J37"/>
    <mergeCell ref="J38:J39"/>
    <mergeCell ref="J41:J44"/>
    <mergeCell ref="J45:J46"/>
    <mergeCell ref="A10:B11"/>
    <mergeCell ref="A27:B28"/>
    <mergeCell ref="A38:B39"/>
    <mergeCell ref="A45:B46"/>
  </mergeCells>
  <printOptions horizontalCentered="1"/>
  <pageMargins left="0.156944444444444" right="0.156944444444444" top="0.236111111111111" bottom="0.275" header="0.156944444444444" footer="0.196527777777778"/>
  <pageSetup paperSize="9" scale="53" orientation="landscape" horizontalDpi="6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胡文扬</cp:lastModifiedBy>
  <dcterms:created xsi:type="dcterms:W3CDTF">2018-09-03T08:22:00Z</dcterms:created>
  <dcterms:modified xsi:type="dcterms:W3CDTF">2025-11-11T03:11:12Z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2052-12.1.0.23542</vt:lpwstr>
  </property>
  <property fmtid="{D5CDD505-2E9C-101B-9397-08002B2CF9AE}" pid="3" name="KSOReadingLayout">
    <vt:bool>true</vt:bool>
  </property>
  <property fmtid="{D5CDD505-2E9C-101B-9397-08002B2CF9AE}" pid="4" name="ICV">
    <vt:lpwstr>BBCFE9705EA342FF92CD9C9568487DBD_13</vt:lpwstr>
  </property>
</Properties>
</file>