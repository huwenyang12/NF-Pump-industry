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  <definedName name="_xlnm.Print_Area" localSheetId="0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<sst xmlns="http://schemas.openxmlformats.org/spreadsheetml/2006/main" count="63" uniqueCount="32">
  <si>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杭州南泵流体机械 发货通知单      2025年11月05日订单    流体福州办20251105004</t>
  </si>
  <si>
    <r>
      <rPr>
        <b/>
        <sz val="18"/>
        <color theme="1"/>
        <rFont val="微软雅黑"/>
        <charset val="134"/>
      </rPr>
      <t>发件人：</t>
    </r>
    <r>
      <rPr>
        <b/>
        <sz val="18"/>
        <color rgb="FFFF0000"/>
        <rFont val="微软雅黑"/>
        <charset val="134"/>
      </rPr>
      <t>徐然</t>
    </r>
    <r>
      <rPr>
        <b/>
        <sz val="18"/>
        <color theme="1"/>
        <rFont val="微软雅黑"/>
        <charset val="134"/>
      </rPr>
      <t xml:space="preserve">  联系电话：</t>
    </r>
    <r>
      <rPr>
        <b/>
        <sz val="18"/>
        <color rgb="FFFF0000"/>
        <rFont val="微软雅黑"/>
        <charset val="134"/>
      </rPr>
      <t xml:space="preserve">020-31707902 </t>
    </r>
    <r>
      <rPr>
        <b/>
        <sz val="18"/>
        <color theme="1"/>
        <rFont val="微软雅黑"/>
        <charset val="134"/>
      </rPr>
      <t xml:space="preserve"> 收件工厂：</t>
    </r>
    <r>
      <rPr>
        <b/>
        <sz val="18"/>
        <color rgb="FFFF0000"/>
        <rFont val="微软雅黑"/>
        <charset val="134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</si>
  <si>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</si>
  <si>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</si>
  <si>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</si>
  <si>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</si>
  <si>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</si>
  <si>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</si>
  <si>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</si>
  <si>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</si>
  <si>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</si>
  <si>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t>收货人信息</t>
  </si>
  <si>
    <t>流体福州办20251105004</t>
  </si>
  <si>
    <t>东莞净唐环保设备有限公司</t>
  </si>
  <si>
    <t>CDLF4-22LSWSC</t>
  </si>
  <si>
    <t>物流送货不发云淼/广东省/东莞市/虎门镇/怀德田心新区8巷3号101室 秦源环保/杨总/13509839652</t>
  </si>
  <si>
    <t>CHL15-30LSWSC</t>
  </si>
  <si>
    <t>合同号：999999</t>
  </si>
  <si>
    <t>是否安装调试验收</t>
  </si>
  <si>
    <t>备注1：</t>
  </si>
  <si>
    <t>N</t>
  </si>
  <si>
    <t>备注2：现货发，附送货单</t>
  </si>
  <si>
    <t>山东孚诺泰环保设备有限责任公司</t>
  </si>
  <si>
    <t>CDL20-17FSWPC</t>
  </si>
  <si>
    <t>物流送货不发云淼/山东省/青州市/经济开发区玲珑山北路4618号（双喜工业园北100米路西）/刘子强/13105361237</t>
  </si>
  <si>
    <t>ZS65-40-200/5.5SSC</t>
  </si>
  <si>
    <t>备注2：附送货单</t>
  </si>
  <si>
    <t>无锡双福环保设备有限公司</t>
  </si>
  <si>
    <t>CHL2-30LSWLC</t>
  </si>
  <si>
    <t>物流送货不发云淼/江苏省无锡市宜兴市 远东大道172号 江苏恒沁源环保科技有限公司车间周日无人收货不要送/陈志文/+86-13995960457</t>
  </si>
  <si>
    <t>CHL2-40LSWLC</t>
  </si>
  <si>
    <t>CDLF2-26FSWLC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</si>
</sst>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8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  <xf numFmtId="0" fontId="24" fillId="0" borderId="0"/>
    <xf numFmtId="176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31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31" fontId="4" fillId="2" borderId="1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Sheet1 5" xfId="50"/>
    <cellStyle name="常规 12" xfId="51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23"/>
  <sheetViews>
    <sheetView tabSelected="1" view="pageBreakPreview" zoomScale="85" zoomScalePageLayoutView="55" zoomScaleNormal="85" topLeftCell="A4" workbookViewId="0">
      <selection activeCell="C20" sqref="C20"/>
    </sheetView>
  </sheetViews>
  <sheetFormatPr defaultColWidth="9" defaultRowHeight="30" customHeight="1"/>
  <cols>
    <col min="1" max="1" width="23.1166666666667" style="1" customWidth="1"/>
    <col min="2" max="2" width="33.375" style="2" customWidth="1"/>
    <col min="3" max="3" width="23.3916666666667" style="1" customWidth="1"/>
    <col min="4" max="4" width="54.1083333333333" style="3" customWidth="1"/>
    <col min="5" max="5" width="10.6666666666667" style="3" customWidth="1"/>
    <col min="6" max="6" width="14.0583333333333" style="1" customWidth="1"/>
    <col min="7" max="7" width="13.8166666666667" style="1" customWidth="1"/>
    <col min="8" max="8" width="18.6" style="1" customWidth="1"/>
    <col min="9" max="9" width="18.5583333333333" style="1" customWidth="1"/>
    <col min="10" max="10" width="47.3583333333333" style="1" customWidth="1"/>
    <col min="11" max="11" width="9" style="1"/>
    <col min="12" max="12" width="14" style="1" customWidth="1"/>
    <col min="13" max="16384" width="9" style="1"/>
  </cols>
  <sheetData>
    <row r="1" customHeight="1" spans="1:10">
      <c r="A1" s="4" t="s">
        <v>0</v>
      </c>
      <c r="B1" s="5"/>
      <c r="C1" s="4"/>
      <c r="D1" s="4"/>
      <c r="E1" s="4"/>
      <c r="F1" s="4"/>
      <c r="G1" s="4"/>
      <c r="H1" s="4"/>
      <c r="I1" s="4"/>
      <c r="J1" s="4"/>
    </row>
    <row r="2" customHeight="1" spans="1:10">
      <c r="A2" s="4" t="s">
        <v>1</v>
      </c>
      <c r="B2" s="5"/>
      <c r="C2" s="4"/>
      <c r="D2" s="4"/>
      <c r="E2" s="4"/>
      <c r="F2" s="4"/>
      <c r="G2" s="4"/>
      <c r="H2" s="4"/>
      <c r="I2" s="4"/>
      <c r="J2" s="4"/>
    </row>
    <row r="3" customHeight="1" spans="1:10">
      <c r="A3" s="6" t="s">
        <v>2</v>
      </c>
      <c r="B3" s="7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customHeight="1" spans="1:10">
      <c r="A4" s="8" t="s">
        <v>12</v>
      </c>
      <c r="B4" s="8" t="s">
        <v>13</v>
      </c>
      <c r="C4" s="9">
        <v>1100281952</v>
      </c>
      <c r="D4" s="8" t="s">
        <v>14</v>
      </c>
      <c r="E4" s="10">
        <v>3900</v>
      </c>
      <c r="F4" s="8">
        <v>1</v>
      </c>
      <c r="G4" s="8">
        <v>2441</v>
      </c>
      <c r="H4" s="10">
        <f t="shared" ref="H4:H6" si="0">G4*F4</f>
        <v>2441</v>
      </c>
      <c r="I4" s="13"/>
      <c r="J4" s="14" t="s">
        <v>15</v>
      </c>
    </row>
    <row r="5" customHeight="1" spans="1:10">
      <c r="A5" s="8"/>
      <c r="B5" s="8"/>
      <c r="C5" s="11">
        <v>1100284812</v>
      </c>
      <c r="D5" s="8" t="s">
        <v>16</v>
      </c>
      <c r="E5" s="10">
        <v>3900</v>
      </c>
      <c r="F5" s="8">
        <v>3</v>
      </c>
      <c r="G5" s="8">
        <v>1690</v>
      </c>
      <c r="H5" s="10">
        <f t="shared" si="0"/>
        <v>5070</v>
      </c>
      <c r="I5" s="15"/>
      <c r="J5" s="16"/>
    </row>
    <row r="6" customHeight="1" spans="1:10">
      <c r="A6" s="8"/>
      <c r="B6" s="8"/>
      <c r="C6" s="8"/>
      <c r="D6" s="8"/>
      <c r="E6" s="8"/>
      <c r="F6" s="8"/>
      <c r="G6" s="8"/>
      <c r="H6" s="8"/>
      <c r="I6" s="15"/>
      <c r="J6" s="16"/>
    </row>
    <row r="7" customHeight="1" spans="1:10">
      <c r="A7" s="8"/>
      <c r="B7" s="8"/>
      <c r="C7" s="10"/>
      <c r="D7" s="10"/>
      <c r="E7" s="10"/>
      <c r="F7" s="8"/>
      <c r="G7" s="8"/>
      <c r="H7" s="10">
        <f>SUM(H4:H6)</f>
        <v>7511</v>
      </c>
      <c r="I7" s="13"/>
      <c r="J7" s="17"/>
    </row>
    <row r="8" customHeight="1" spans="1:10">
      <c r="A8" s="7" t="s">
        <v>17</v>
      </c>
      <c r="B8" s="7"/>
      <c r="C8" s="7" t="s">
        <v>18</v>
      </c>
      <c r="D8" s="12" t="s">
        <v>19</v>
      </c>
      <c r="E8" s="12"/>
      <c r="F8" s="12"/>
      <c r="G8" s="12"/>
      <c r="H8" s="12"/>
      <c r="I8" s="12"/>
      <c r="J8" s="6"/>
    </row>
    <row r="9" customHeight="1" spans="1:10">
      <c r="A9" s="7"/>
      <c r="B9" s="7"/>
      <c r="C9" s="8" t="s">
        <v>20</v>
      </c>
      <c r="D9" s="12" t="s">
        <v>21</v>
      </c>
      <c r="E9" s="12"/>
      <c r="F9" s="12"/>
      <c r="G9" s="12"/>
      <c r="H9" s="12"/>
      <c r="I9" s="12"/>
      <c r="J9" s="6"/>
    </row>
    <row r="10" customHeight="1" spans="1:10">
      <c r="A10" s="6" t="s">
        <v>2</v>
      </c>
      <c r="B10" s="7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6" t="s">
        <v>8</v>
      </c>
      <c r="H10" s="6" t="s">
        <v>9</v>
      </c>
      <c r="I10" s="6" t="s">
        <v>10</v>
      </c>
      <c r="J10" s="6" t="s">
        <v>11</v>
      </c>
    </row>
    <row r="11" customHeight="1" spans="1:10">
      <c r="A11" s="8" t="s">
        <v>12</v>
      </c>
      <c r="B11" s="8" t="s">
        <v>22</v>
      </c>
      <c r="C11" s="9">
        <v>110027923</v>
      </c>
      <c r="D11" s="8" t="s">
        <v>23</v>
      </c>
      <c r="E11" s="10">
        <v>3900</v>
      </c>
      <c r="F11" s="8">
        <v>1</v>
      </c>
      <c r="G11" s="8">
        <v>5963</v>
      </c>
      <c r="H11" s="10">
        <f>G11*F11</f>
        <v>5963</v>
      </c>
      <c r="I11" s="13"/>
      <c r="J11" s="14" t="s">
        <v>24</v>
      </c>
    </row>
    <row r="12" customHeight="1" spans="1:10">
      <c r="A12" s="8"/>
      <c r="B12" s="8"/>
      <c r="C12" s="11">
        <v>1100215292</v>
      </c>
      <c r="D12" s="8" t="s">
        <v>25</v>
      </c>
      <c r="E12" s="10">
        <v>3900</v>
      </c>
      <c r="F12" s="8">
        <v>2</v>
      </c>
      <c r="G12" s="8">
        <v>2950</v>
      </c>
      <c r="H12" s="10">
        <f>G12*F12</f>
        <v>5900</v>
      </c>
      <c r="I12" s="15"/>
      <c r="J12" s="16"/>
    </row>
    <row r="13" customHeight="1" spans="1:10">
      <c r="A13" s="8"/>
      <c r="B13" s="8"/>
      <c r="C13" s="8"/>
      <c r="D13" s="8"/>
      <c r="E13" s="8"/>
      <c r="F13" s="8"/>
      <c r="G13" s="8"/>
      <c r="H13" s="8"/>
      <c r="I13" s="15"/>
      <c r="J13" s="16"/>
    </row>
    <row r="14" customHeight="1" spans="1:10">
      <c r="A14" s="8"/>
      <c r="B14" s="8"/>
      <c r="C14" s="10"/>
      <c r="D14" s="10"/>
      <c r="E14" s="10"/>
      <c r="F14" s="8"/>
      <c r="G14" s="8"/>
      <c r="H14" s="10">
        <f>SUM(H11:H13)</f>
        <v>11863</v>
      </c>
      <c r="I14" s="13"/>
      <c r="J14" s="17"/>
    </row>
    <row r="15" customHeight="1" spans="1:10">
      <c r="A15" s="7" t="s">
        <v>17</v>
      </c>
      <c r="B15" s="7"/>
      <c r="C15" s="7" t="s">
        <v>18</v>
      </c>
      <c r="D15" s="12" t="s">
        <v>19</v>
      </c>
      <c r="E15" s="12"/>
      <c r="F15" s="12"/>
      <c r="G15" s="12"/>
      <c r="H15" s="12"/>
      <c r="I15" s="12"/>
      <c r="J15" s="6"/>
    </row>
    <row r="16" customHeight="1" spans="1:10">
      <c r="A16" s="7"/>
      <c r="B16" s="7"/>
      <c r="C16" s="8" t="s">
        <v>20</v>
      </c>
      <c r="D16" s="12" t="s">
        <v>26</v>
      </c>
      <c r="E16" s="12"/>
      <c r="F16" s="12"/>
      <c r="G16" s="12"/>
      <c r="H16" s="12"/>
      <c r="I16" s="12"/>
      <c r="J16" s="6"/>
    </row>
    <row r="17" customHeight="1" spans="1:10">
      <c r="A17" s="6" t="s">
        <v>2</v>
      </c>
      <c r="B17" s="7" t="s">
        <v>3</v>
      </c>
      <c r="C17" s="6" t="s">
        <v>4</v>
      </c>
      <c r="D17" s="6" t="s">
        <v>5</v>
      </c>
      <c r="E17" s="6" t="s">
        <v>6</v>
      </c>
      <c r="F17" s="6" t="s">
        <v>7</v>
      </c>
      <c r="G17" s="6" t="s">
        <v>8</v>
      </c>
      <c r="H17" s="6" t="s">
        <v>9</v>
      </c>
      <c r="I17" s="6" t="s">
        <v>10</v>
      </c>
      <c r="J17" s="6" t="s">
        <v>11</v>
      </c>
    </row>
    <row r="18" customHeight="1" spans="1:10">
      <c r="A18" s="8" t="s">
        <v>12</v>
      </c>
      <c r="B18" s="8" t="s">
        <v>27</v>
      </c>
      <c r="C18" s="9">
        <v>1100285057</v>
      </c>
      <c r="D18" s="8" t="s">
        <v>28</v>
      </c>
      <c r="E18" s="10">
        <v>3900</v>
      </c>
      <c r="F18" s="8">
        <v>9</v>
      </c>
      <c r="G18" s="8">
        <v>644</v>
      </c>
      <c r="H18" s="10">
        <f>G18*F18</f>
        <v>5796</v>
      </c>
      <c r="I18" s="13"/>
      <c r="J18" s="14" t="s">
        <v>29</v>
      </c>
    </row>
    <row r="19" customHeight="1" spans="1:10">
      <c r="A19" s="8"/>
      <c r="B19" s="8"/>
      <c r="C19" s="11">
        <v>1100285005</v>
      </c>
      <c r="D19" s="8" t="s">
        <v>30</v>
      </c>
      <c r="E19" s="10">
        <v>3900</v>
      </c>
      <c r="F19" s="8">
        <v>3</v>
      </c>
      <c r="G19" s="8">
        <v>758</v>
      </c>
      <c r="H19" s="10">
        <f>G19*F19</f>
        <v>2274</v>
      </c>
      <c r="I19" s="15"/>
      <c r="J19" s="16"/>
    </row>
    <row r="20" customHeight="1" spans="1:10">
      <c r="A20" s="8"/>
      <c r="B20" s="8"/>
      <c r="C20" s="11">
        <v>1100283374</v>
      </c>
      <c r="D20" s="8" t="s">
        <v>31</v>
      </c>
      <c r="E20" s="10">
        <v>3900</v>
      </c>
      <c r="F20" s="8">
        <v>1</v>
      </c>
      <c r="G20" s="8">
        <v>2533</v>
      </c>
      <c r="H20" s="10">
        <f>G20*F20</f>
        <v>2533</v>
      </c>
      <c r="I20" s="15"/>
      <c r="J20" s="16"/>
    </row>
    <row r="21" customHeight="1" spans="1:10">
      <c r="A21" s="8"/>
      <c r="B21" s="8"/>
      <c r="C21" s="10"/>
      <c r="D21" s="10"/>
      <c r="E21" s="10"/>
      <c r="F21" s="8"/>
      <c r="G21" s="8"/>
      <c r="H21" s="10">
        <f>SUM(H18:H20)</f>
        <v>10603</v>
      </c>
      <c r="I21" s="13"/>
      <c r="J21" s="17"/>
    </row>
    <row r="22" customHeight="1" spans="1:10">
      <c r="A22" s="7" t="s">
        <v>17</v>
      </c>
      <c r="B22" s="7"/>
      <c r="C22" s="7" t="s">
        <v>18</v>
      </c>
      <c r="D22" s="12" t="s">
        <v>19</v>
      </c>
      <c r="E22" s="12"/>
      <c r="F22" s="12"/>
      <c r="G22" s="12"/>
      <c r="H22" s="12"/>
      <c r="I22" s="12"/>
      <c r="J22" s="6"/>
    </row>
    <row r="23" customHeight="1" spans="1:10">
      <c r="A23" s="7"/>
      <c r="B23" s="7"/>
      <c r="C23" s="8" t="s">
        <v>20</v>
      </c>
      <c r="D23" s="12" t="s">
        <v>26</v>
      </c>
      <c r="E23" s="12"/>
      <c r="F23" s="12"/>
      <c r="G23" s="12"/>
      <c r="H23" s="12"/>
      <c r="I23" s="12"/>
      <c r="J23" s="6"/>
    </row>
  </sheetData>
  <mergeCells count="23">
    <mergeCell ref="A1:J1"/>
    <mergeCell ref="A2:J2"/>
    <mergeCell ref="A8:B8"/>
    <mergeCell ref="D8:I8"/>
    <mergeCell ref="A9:B9"/>
    <mergeCell ref="D9:I9"/>
    <mergeCell ref="A15:B15"/>
    <mergeCell ref="D15:I15"/>
    <mergeCell ref="A16:B16"/>
    <mergeCell ref="D16:I16"/>
    <mergeCell ref="A22:B22"/>
    <mergeCell ref="D22:I22"/>
    <mergeCell ref="A23:B23"/>
    <mergeCell ref="D23:I23"/>
    <mergeCell ref="A4:A7"/>
    <mergeCell ref="A11:A14"/>
    <mergeCell ref="A18:A21"/>
    <mergeCell ref="B4:B7"/>
    <mergeCell ref="B11:B14"/>
    <mergeCell ref="B18:B21"/>
    <mergeCell ref="J4:J7"/>
    <mergeCell ref="J11:J14"/>
    <mergeCell ref="J18:J21"/>
  </mergeCells>
  <printOptions horizontalCentered="1"/>
  <pageMargins left="0.75" right="0.751388888888889" top="1" bottom="1" header="0.511805555555556" footer="0.511805555555556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微信用户</cp:lastModifiedBy>
  <dcterms:created xsi:type="dcterms:W3CDTF">2018-09-03T08:22:00Z</dcterms:created>
  <dcterms:modified xsi:type="dcterms:W3CDTF">2025-11-05T06:16:07Z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A5B055D3231D496D82ECF0867056B6D8_13</vt:lpwstr>
  </property>
</Properties>
</file>