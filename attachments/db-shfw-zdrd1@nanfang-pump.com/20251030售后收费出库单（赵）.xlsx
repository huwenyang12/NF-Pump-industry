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tabRatio="456"/>
  </bookViews>
  <sheets>
    <sheet name="售后收费出库" sheetId="83" r:id="rId1"/>
  </sheets>
  <definedNames>
    <definedName name="_xlnm._FilterDatabase" localSheetId="0" hidden="1">售后收费出库!$A$3:$L$76</definedName>
    <definedName name="_xlnm.Print_Area" localSheetId="0">售后收费出库!$A$1:$L$80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<sst xmlns="http://schemas.openxmlformats.org/spreadsheetml/2006/main" count="421" uniqueCount="275">
  <si>
    <t>南方泵业股份有限公司售后服务卡出库通知单</t>
  </si>
  <si>
    <t>发件人：**联系电话：0000-888888</t>
  </si>
  <si>
    <t>服务卡编码（CRM号）</t>
  </si>
  <si>
    <t>客户名称（开票单位）</t>
  </si>
  <si>
    <t>物料编码</t>
  </si>
  <si>
    <t>物料名称</t>
  </si>
  <si>
    <t>数量</t>
  </si>
  <si>
    <t>单价</t>
  </si>
  <si>
    <t>金额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</si>
  <si>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</si>
  <si>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</si>
  <si>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</si>
  <si>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</si>
  <si>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</si>
  <si>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t>深圳市鼎泰佳创科技有限公司</t>
  </si>
  <si>
    <t>1500148017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</si>
  <si>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CHM-15/S1S2E4|</t>
    </r>
    <r>
      <rPr>
        <sz val="11"/>
        <rFont val="宋体"/>
        <charset val="134"/>
      </rPr>
      <t>新结构</t>
    </r>
  </si>
  <si>
    <t>132</t>
  </si>
  <si>
    <t>ZTAN</t>
  </si>
  <si>
    <t>嘉兴办</t>
  </si>
  <si>
    <t>江苏荣亿达温控科技有限公司</t>
  </si>
  <si>
    <t>1500003174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</si>
  <si>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CHL-20/B1S1E4</t>
    </r>
  </si>
  <si>
    <t>187</t>
  </si>
  <si>
    <t>宁波一部</t>
  </si>
  <si>
    <t>山东奥美环境股份有限公司</t>
  </si>
  <si>
    <t>1400003846</t>
  </si>
  <si>
    <r>
      <t>泵体</t>
    </r>
    <r>
      <rPr>
        <sz val="11"/>
        <rFont val="Arial"/>
        <charset val="134"/>
      </rPr>
      <t>|ZS100-80-160/18.5-03-00|304</t>
    </r>
  </si>
  <si>
    <t>2146.00</t>
  </si>
  <si>
    <t>包头办</t>
  </si>
  <si>
    <t>盐城欧亚图自动化有限公司</t>
  </si>
  <si>
    <t>1500003249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</si>
  <si>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ZS-24/WWF14</t>
    </r>
  </si>
  <si>
    <t>299</t>
  </si>
  <si>
    <t>盐城办</t>
  </si>
  <si>
    <t>1500075233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</si>
  <si>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NISO-33/WWF14</t>
    </r>
  </si>
  <si>
    <t>446</t>
  </si>
  <si>
    <t>青岛万图明生物制品有限公司</t>
  </si>
  <si>
    <t>1400005426</t>
  </si>
  <si>
    <r>
      <t>拉带</t>
    </r>
    <r>
      <rPr>
        <sz val="11"/>
        <rFont val="Arial"/>
        <charset val="134"/>
      </rPr>
      <t>|CDL32-00-17|CDL32-40|290|904L|4</t>
    </r>
    <r>
      <rPr>
        <sz val="11"/>
        <rFont val="宋体"/>
        <charset val="134"/>
      </rPr>
      <t>级</t>
    </r>
  </si>
  <si>
    <t>50</t>
  </si>
  <si>
    <t>青岛一部</t>
  </si>
  <si>
    <t>1400006398</t>
  </si>
  <si>
    <r>
      <t>支撑导叶</t>
    </r>
    <r>
      <rPr>
        <sz val="11"/>
        <rFont val="Arial"/>
        <charset val="134"/>
      </rPr>
      <t>|CDL32-02-00|LS30|904L</t>
    </r>
  </si>
  <si>
    <t>814</t>
  </si>
  <si>
    <t>1400006488</t>
  </si>
  <si>
    <r>
      <t>导流器</t>
    </r>
    <r>
      <rPr>
        <sz val="11"/>
        <rFont val="Arial"/>
        <charset val="134"/>
      </rPr>
      <t>|CDL32-01-00|904L</t>
    </r>
  </si>
  <si>
    <t>242</t>
  </si>
  <si>
    <t>1400006798</t>
  </si>
  <si>
    <r>
      <t>锥套</t>
    </r>
    <r>
      <rPr>
        <sz val="11"/>
        <rFont val="Arial"/>
        <charset val="134"/>
      </rPr>
      <t>|CDL32-06-06|2205</t>
    </r>
  </si>
  <si>
    <t>24</t>
  </si>
  <si>
    <t>1400006812</t>
  </si>
  <si>
    <r>
      <t>压盖</t>
    </r>
    <r>
      <rPr>
        <sz val="11"/>
        <rFont val="Arial"/>
        <charset val="134"/>
      </rPr>
      <t>|CDL32-00-05|2205</t>
    </r>
  </si>
  <si>
    <t>30</t>
  </si>
  <si>
    <t>1400006880</t>
  </si>
  <si>
    <r>
      <t>下轴套</t>
    </r>
    <r>
      <rPr>
        <sz val="11"/>
        <rFont val="Arial"/>
        <charset val="134"/>
      </rPr>
      <t>|CDL32-00-06|LS30</t>
    </r>
  </si>
  <si>
    <t>55</t>
  </si>
  <si>
    <t>1400006883</t>
  </si>
  <si>
    <r>
      <t>中间轴套</t>
    </r>
    <r>
      <rPr>
        <sz val="11"/>
        <rFont val="Arial"/>
        <charset val="134"/>
      </rPr>
      <t>|CDL32-05-00|2205+</t>
    </r>
    <r>
      <rPr>
        <sz val="11"/>
        <rFont val="宋体"/>
        <charset val="134"/>
      </rPr>
      <t>陶瓷</t>
    </r>
  </si>
  <si>
    <t>374</t>
  </si>
  <si>
    <t>1400007402</t>
  </si>
  <si>
    <r>
      <t>出水导叶</t>
    </r>
    <r>
      <rPr>
        <sz val="11"/>
        <rFont val="Arial"/>
        <charset val="134"/>
      </rPr>
      <t>|CDL32-04-00|904L</t>
    </r>
  </si>
  <si>
    <t>616</t>
  </si>
  <si>
    <t>1400008376</t>
  </si>
  <si>
    <r>
      <t>大叶轮</t>
    </r>
    <r>
      <rPr>
        <sz val="11"/>
        <rFont val="Arial"/>
        <charset val="134"/>
      </rPr>
      <t>|CDL32-06-00A|904L</t>
    </r>
  </si>
  <si>
    <t>1400009404</t>
  </si>
  <si>
    <r>
      <t>导叶</t>
    </r>
    <r>
      <rPr>
        <sz val="11"/>
        <rFont val="Arial"/>
        <charset val="134"/>
      </rPr>
      <t>|CDL32-03-00|904L</t>
    </r>
  </si>
  <si>
    <t>594</t>
  </si>
  <si>
    <t>1400121877</t>
  </si>
  <si>
    <r>
      <t>泵轴</t>
    </r>
    <r>
      <rPr>
        <sz val="11"/>
        <rFont val="Arial"/>
        <charset val="134"/>
      </rPr>
      <t>|CDM32-02|2205|4</t>
    </r>
    <r>
      <rPr>
        <sz val="11"/>
        <rFont val="宋体"/>
        <charset val="134"/>
      </rPr>
      <t>级</t>
    </r>
    <r>
      <rPr>
        <sz val="11"/>
        <rFont val="Arial"/>
        <charset val="134"/>
      </rPr>
      <t>|480</t>
    </r>
  </si>
  <si>
    <t>602</t>
  </si>
  <si>
    <t>1500005567</t>
  </si>
  <si>
    <r>
      <t>内六角圆柱头螺钉</t>
    </r>
    <r>
      <rPr>
        <sz val="11"/>
        <rFont val="Arial"/>
        <charset val="134"/>
      </rPr>
      <t>|M8X16|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/2205|GB/T70.1</t>
    </r>
  </si>
  <si>
    <t>4</t>
  </si>
  <si>
    <t>1500005609</t>
  </si>
  <si>
    <r>
      <t>内六角圆柱头螺钉</t>
    </r>
    <r>
      <rPr>
        <sz val="11"/>
        <rFont val="Arial"/>
        <charset val="134"/>
      </rPr>
      <t>|M8X30|A2-70|GB/T70.1(DIN912)</t>
    </r>
  </si>
  <si>
    <t>2</t>
  </si>
  <si>
    <t>上海津滁发展有限公司</t>
  </si>
  <si>
    <t>1200014666</t>
  </si>
  <si>
    <r>
      <t>TD-YE3-112M-2|SW|4kW|380V|</t>
    </r>
    <r>
      <rPr>
        <sz val="11"/>
        <rFont val="宋体"/>
        <charset val="134"/>
      </rPr>
      <t>蓝</t>
    </r>
  </si>
  <si>
    <t>1408</t>
  </si>
  <si>
    <t>浦东办</t>
  </si>
  <si>
    <t>1500010464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</si>
  <si>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TD-28/BS1E4</t>
    </r>
  </si>
  <si>
    <t>255</t>
  </si>
  <si>
    <r>
      <t>亿普威克</t>
    </r>
    <r>
      <rPr>
        <sz val="11"/>
        <rFont val="Arial"/>
        <charset val="134"/>
      </rPr>
      <t>(</t>
    </r>
    <r>
      <rPr>
        <sz val="11"/>
        <rFont val="宋体"/>
        <charset val="134"/>
      </rPr>
      <t>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节能设备有限公司</t>
    </r>
  </si>
  <si>
    <t>1500003259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</si>
  <si>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ZS-24/BS1P14</t>
    </r>
  </si>
  <si>
    <t>200</t>
  </si>
  <si>
    <t>无锡一部</t>
  </si>
  <si>
    <t>1500004253</t>
  </si>
  <si>
    <r>
      <t>深沟球轴承</t>
    </r>
    <r>
      <rPr>
        <sz val="11"/>
        <rFont val="Arial"/>
        <charset val="134"/>
      </rPr>
      <t>|6206ZZ|NSK|C3|ENS|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</si>
  <si>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山东易石生物工程有限公司</t>
  </si>
  <si>
    <t>1400033851</t>
  </si>
  <si>
    <r>
      <t>泵头</t>
    </r>
    <r>
      <rPr>
        <sz val="11"/>
        <rFont val="Arial"/>
        <charset val="134"/>
      </rPr>
      <t>|SZ50-32-160-03-00|F46</t>
    </r>
  </si>
  <si>
    <t>1940</t>
  </si>
  <si>
    <t>济宁办</t>
  </si>
  <si>
    <t>滨州森悦动力有限公司</t>
  </si>
  <si>
    <t>1500003117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</si>
  <si>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MS-14/S1BE4</t>
    </r>
  </si>
  <si>
    <t>89</t>
  </si>
  <si>
    <t>东营办</t>
  </si>
  <si>
    <t>1500004247</t>
  </si>
  <si>
    <r>
      <t>深沟球轴承</t>
    </r>
    <r>
      <rPr>
        <sz val="11"/>
        <rFont val="Arial"/>
        <charset val="134"/>
      </rPr>
      <t>|6204ZZ</t>
    </r>
  </si>
  <si>
    <t>江苏雪清怡美环保科技有限公司</t>
  </si>
  <si>
    <t>1400003953</t>
  </si>
  <si>
    <r>
      <t>叶轮</t>
    </r>
    <r>
      <rPr>
        <sz val="11"/>
        <rFont val="Arial"/>
        <charset val="134"/>
      </rPr>
      <t>|ZS100-80-160/15.0-02|304|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φ159</t>
    </r>
  </si>
  <si>
    <t>426</t>
  </si>
  <si>
    <t>无锡四部</t>
  </si>
  <si>
    <t>1500003244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</si>
  <si>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ZS-24/BS1E4/S1BE4</t>
    </r>
  </si>
  <si>
    <t>青岛凯尼尔换热设备有限公司</t>
  </si>
  <si>
    <t>1400002818</t>
  </si>
  <si>
    <r>
      <t>泵轴</t>
    </r>
    <r>
      <rPr>
        <sz val="11"/>
        <rFont val="Arial"/>
        <charset val="134"/>
      </rPr>
      <t>|TD250-32-04|20Cr13</t>
    </r>
  </si>
  <si>
    <t>670</t>
  </si>
  <si>
    <t>1400003492</t>
  </si>
  <si>
    <r>
      <t>叶轮</t>
    </r>
    <r>
      <rPr>
        <sz val="11"/>
        <rFont val="Arial"/>
        <charset val="134"/>
      </rPr>
      <t>|TD250-36-01|HT200|φ345|50HZ</t>
    </r>
    <r>
      <rPr>
        <sz val="11"/>
        <rFont val="宋体"/>
        <charset val="134"/>
      </rPr>
      <t>原配</t>
    </r>
  </si>
  <si>
    <t>770</t>
  </si>
  <si>
    <t>1500003383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</si>
  <si>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TD5-43/BS1E4</t>
    </r>
  </si>
  <si>
    <t>730</t>
  </si>
  <si>
    <t>1500003404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</si>
  <si>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TD5-48/BS1E4</t>
    </r>
  </si>
  <si>
    <t>860</t>
  </si>
  <si>
    <t>1500004714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</si>
  <si>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|80X3.55|</t>
    </r>
    <r>
      <rPr>
        <sz val="11"/>
        <rFont val="宋体"/>
        <charset val="134"/>
      </rPr>
      <t>丁腈橡胶</t>
    </r>
  </si>
  <si>
    <r>
      <t>中部理化铝制品</t>
    </r>
    <r>
      <rPr>
        <sz val="11"/>
        <rFont val="Arial"/>
        <charset val="134"/>
      </rPr>
      <t>(</t>
    </r>
    <r>
      <rPr>
        <sz val="11"/>
        <rFont val="宋体"/>
        <charset val="134"/>
      </rPr>
      <t>平湖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</si>
  <si>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1400002492</t>
  </si>
  <si>
    <r>
      <t>泵体</t>
    </r>
    <r>
      <rPr>
        <sz val="11"/>
        <rFont val="Arial"/>
        <charset val="134"/>
      </rPr>
      <t>|TD50-35-01-1|HT200|PN16</t>
    </r>
  </si>
  <si>
    <t>1082</t>
  </si>
  <si>
    <t>山东国开泵业有限公司</t>
  </si>
  <si>
    <t>1400006807</t>
  </si>
  <si>
    <r>
      <t>压盖</t>
    </r>
    <r>
      <rPr>
        <sz val="11"/>
        <rFont val="Arial"/>
        <charset val="134"/>
      </rPr>
      <t>|CDL32-00-05|304</t>
    </r>
  </si>
  <si>
    <t>7</t>
  </si>
  <si>
    <t>临沂办</t>
  </si>
  <si>
    <t>1400008320</t>
  </si>
  <si>
    <r>
      <t>小叶轮</t>
    </r>
    <r>
      <rPr>
        <sz val="11"/>
        <rFont val="Arial"/>
        <charset val="134"/>
      </rPr>
      <t>|CDL65-13B-00|304</t>
    </r>
  </si>
  <si>
    <t>297</t>
  </si>
  <si>
    <t>1400009522</t>
  </si>
  <si>
    <r>
      <t>导叶</t>
    </r>
    <r>
      <rPr>
        <sz val="11"/>
        <rFont val="Arial"/>
        <charset val="134"/>
      </rPr>
      <t>|CDL65-08-00|304</t>
    </r>
  </si>
  <si>
    <t>380</t>
  </si>
  <si>
    <t>1500005565</t>
  </si>
  <si>
    <r>
      <t>内六角圆柱头螺钉</t>
    </r>
    <r>
      <rPr>
        <sz val="11"/>
        <rFont val="Arial"/>
        <charset val="134"/>
      </rPr>
      <t>|M8X16</t>
    </r>
    <r>
      <rPr>
        <sz val="11"/>
        <rFont val="宋体"/>
        <charset val="134"/>
      </rPr>
      <t>左旋</t>
    </r>
    <r>
      <rPr>
        <sz val="11"/>
        <rFont val="Arial"/>
        <charset val="134"/>
      </rPr>
      <t>A2-70|GB/T70.1(DIN912)</t>
    </r>
  </si>
  <si>
    <t>成都之和环保科技有限公司</t>
  </si>
  <si>
    <t>1500003241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</si>
  <si>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ZS-24/S2WE4</t>
    </r>
  </si>
  <si>
    <t>281</t>
  </si>
  <si>
    <t>江西宏赫环境技术有限公司</t>
  </si>
  <si>
    <t>1500003472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</si>
  <si>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</si>
  <si>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t>407</t>
  </si>
  <si>
    <t>南京二部</t>
  </si>
  <si>
    <t>广州岩海科技有限公司</t>
  </si>
  <si>
    <t>1500090681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</si>
  <si>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CDM-22/WB1F14</t>
    </r>
  </si>
  <si>
    <t>534</t>
  </si>
  <si>
    <t>南京四部</t>
  </si>
  <si>
    <t>青岛秉承环保工程有限公司</t>
  </si>
  <si>
    <t>1500004283</t>
  </si>
  <si>
    <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</si>
  <si>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t>99</t>
  </si>
  <si>
    <t>青岛二部</t>
  </si>
  <si>
    <t>1500004766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</si>
  <si>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|175X3.55|</t>
    </r>
    <r>
      <rPr>
        <sz val="11"/>
        <rFont val="宋体"/>
        <charset val="134"/>
      </rPr>
      <t>丁腈橡胶</t>
    </r>
  </si>
  <si>
    <t>11</t>
  </si>
  <si>
    <t>江苏嘉洲净化科技有限公司</t>
  </si>
  <si>
    <t>1200017183</t>
  </si>
  <si>
    <r>
      <t>CDM-YE3-225M-2|SW|V1|45|380V|IE3(</t>
    </r>
    <r>
      <rPr>
        <sz val="11"/>
        <rFont val="宋体"/>
        <charset val="134"/>
      </rPr>
      <t>二代</t>
    </r>
    <r>
      <rPr>
        <sz val="11"/>
        <rFont val="Arial"/>
        <charset val="134"/>
      </rPr>
      <t>)</t>
    </r>
  </si>
  <si>
    <t>9237</t>
  </si>
  <si>
    <t>金华办</t>
  </si>
  <si>
    <t>江苏维香工具制造有限公司</t>
  </si>
  <si>
    <t>1500004278</t>
  </si>
  <si>
    <r>
      <t>深沟球轴承</t>
    </r>
    <r>
      <rPr>
        <sz val="11"/>
        <rFont val="Arial"/>
        <charset val="134"/>
      </rPr>
      <t>|6306ZZ</t>
    </r>
  </si>
  <si>
    <t>60</t>
  </si>
  <si>
    <t>镇江办</t>
  </si>
  <si>
    <t>无锡福钻机械科技有限公司</t>
  </si>
  <si>
    <t>1500136521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</si>
  <si>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CHM-15/WS2F14|</t>
    </r>
    <r>
      <rPr>
        <sz val="11"/>
        <rFont val="宋体"/>
        <charset val="134"/>
      </rPr>
      <t>新结构</t>
    </r>
  </si>
  <si>
    <t>无锡三部</t>
  </si>
  <si>
    <t>太仓舒展机械设备有限公司</t>
  </si>
  <si>
    <t>安徽宏久水泵设备有限公司</t>
  </si>
  <si>
    <t>保定办</t>
  </si>
  <si>
    <t>山东博纳生物科技集团有限公司</t>
  </si>
  <si>
    <t>1400006899</t>
  </si>
  <si>
    <r>
      <t>轴套</t>
    </r>
    <r>
      <rPr>
        <sz val="11"/>
        <rFont val="Arial"/>
        <charset val="134"/>
      </rPr>
      <t>|CDL2A-05|LS30|Ф16x12.6x10.5</t>
    </r>
  </si>
  <si>
    <t>烟台一部</t>
  </si>
  <si>
    <t>1500060876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</si>
  <si>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CHL-16/SWF14(TT)</t>
    </r>
  </si>
  <si>
    <t>浙江昌海制药有限公司</t>
  </si>
  <si>
    <t>1400007449</t>
  </si>
  <si>
    <r>
      <t>泵头</t>
    </r>
    <r>
      <rPr>
        <sz val="11"/>
        <rFont val="Arial"/>
        <charset val="134"/>
      </rPr>
      <t>|CDL42-12B|Φ160|3-45kW|HT200</t>
    </r>
  </si>
  <si>
    <t>460</t>
  </si>
  <si>
    <t>绍兴办</t>
  </si>
  <si>
    <t>1400008545</t>
  </si>
  <si>
    <r>
      <t>进出水段</t>
    </r>
    <r>
      <rPr>
        <sz val="11"/>
        <rFont val="Arial"/>
        <charset val="134"/>
      </rPr>
      <t>|CDL42-04B|</t>
    </r>
    <r>
      <rPr>
        <sz val="11"/>
        <rFont val="宋体"/>
        <charset val="134"/>
      </rPr>
      <t>法兰</t>
    </r>
    <r>
      <rPr>
        <sz val="11"/>
        <rFont val="Arial"/>
        <charset val="134"/>
      </rPr>
      <t>|HT200</t>
    </r>
  </si>
  <si>
    <t>1360</t>
  </si>
  <si>
    <t>1500003514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</si>
  <si>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CDLA-22/WB1F14</t>
    </r>
  </si>
  <si>
    <t>668</t>
  </si>
  <si>
    <t>1500004141</t>
  </si>
  <si>
    <r>
      <t>下滑动轴承</t>
    </r>
    <r>
      <rPr>
        <sz val="11"/>
        <rFont val="Arial"/>
        <charset val="134"/>
      </rPr>
      <t>|CDL32-00-19|LS30</t>
    </r>
  </si>
  <si>
    <t>156</t>
  </si>
  <si>
    <t>济南圣泉铸造材料有限公司</t>
  </si>
  <si>
    <t>1400041284</t>
  </si>
  <si>
    <r>
      <t>50GW20-15-1.5</t>
    </r>
    <r>
      <rPr>
        <sz val="11"/>
        <rFont val="宋体"/>
        <charset val="134"/>
      </rPr>
      <t>机封</t>
    </r>
    <r>
      <rPr>
        <sz val="11"/>
        <rFont val="Arial"/>
        <charset val="134"/>
      </rPr>
      <t>(WG)</t>
    </r>
  </si>
  <si>
    <t>215</t>
  </si>
  <si>
    <t>济南三部</t>
  </si>
  <si>
    <t>1400140987</t>
  </si>
  <si>
    <r>
      <t>泵体</t>
    </r>
    <r>
      <rPr>
        <sz val="11"/>
        <rFont val="Arial"/>
        <charset val="134"/>
      </rPr>
      <t>|50GW20-15-1.5(WG)</t>
    </r>
  </si>
  <si>
    <t>750</t>
  </si>
  <si>
    <t>1500003344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</si>
  <si>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TD-40/BS1P4</t>
    </r>
  </si>
  <si>
    <t>550</t>
  </si>
  <si>
    <t>沈阳水润科技有限公司</t>
  </si>
  <si>
    <t>1500003584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</si>
  <si>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QY-15/S2S1E4</t>
    </r>
  </si>
  <si>
    <t>195</t>
  </si>
  <si>
    <t>沈阳办</t>
  </si>
  <si>
    <t>沈阳天润热力供暖有限公司</t>
  </si>
  <si>
    <t>950</t>
  </si>
  <si>
    <t>佛山市同舟环保科技有限公司</t>
  </si>
  <si>
    <t>1500003240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</si>
  <si>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ZS-24/SSF14(TT)</t>
    </r>
  </si>
  <si>
    <t>十堰高周波科工贸有限公司</t>
  </si>
  <si>
    <t>1500003321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</si>
  <si>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TDS-28/BS1E4</t>
    </r>
  </si>
  <si>
    <t>大庆办</t>
  </si>
  <si>
    <t>秦皇岛华恒生物工程有限公司</t>
  </si>
  <si>
    <t>1500182809</t>
  </si>
  <si>
    <r>
      <t>集装机封</t>
    </r>
    <r>
      <rPr>
        <sz val="11"/>
        <rFont val="Arial"/>
        <charset val="134"/>
      </rPr>
      <t>|ZJ-DT-60-WB/D1/6-4|304(WG)</t>
    </r>
  </si>
  <si>
    <t>4008</t>
  </si>
  <si>
    <t>秦皇岛办</t>
  </si>
  <si>
    <t>河北庆兴机电设备安装工程有限公司</t>
  </si>
  <si>
    <t>1500003370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</si>
  <si>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TD-28/S2WE4</t>
    </r>
  </si>
  <si>
    <t>363</t>
  </si>
  <si>
    <t>廊坊办</t>
  </si>
  <si>
    <t>浙江医药股份有限公司昌海生物分公司</t>
  </si>
  <si>
    <t>1400282894</t>
  </si>
  <si>
    <r>
      <t>叶轮</t>
    </r>
    <r>
      <rPr>
        <sz val="11"/>
        <rFont val="Arial"/>
        <charset val="134"/>
      </rPr>
      <t>|XBD5.0/25G-L(WG)</t>
    </r>
  </si>
  <si>
    <t>870</t>
  </si>
  <si>
    <t>1500178769</t>
  </si>
  <si>
    <r>
      <t>机封</t>
    </r>
    <r>
      <rPr>
        <sz val="11"/>
        <rFont val="Arial"/>
        <charset val="134"/>
      </rPr>
      <t>|XBD5.0/25G-L(WG)</t>
    </r>
  </si>
  <si>
    <t>330</t>
  </si>
  <si>
    <t>昆山伊怀普道环保科技有限公司</t>
  </si>
  <si>
    <t>嘉定办</t>
  </si>
  <si>
    <t>1400058558</t>
  </si>
  <si>
    <r>
      <t>叶轮</t>
    </r>
    <r>
      <rPr>
        <sz val="11"/>
        <rFont val="Arial"/>
        <charset val="134"/>
      </rPr>
      <t>|CDM3-01-00|304</t>
    </r>
  </si>
  <si>
    <t>1400058579</t>
  </si>
  <si>
    <r>
      <t>导流器</t>
    </r>
    <r>
      <rPr>
        <sz val="11"/>
        <rFont val="Arial"/>
        <charset val="134"/>
      </rPr>
      <t>|CDM3-02-00|304</t>
    </r>
  </si>
  <si>
    <t>内蒙古明大盛业物资有限公司</t>
  </si>
  <si>
    <t>560.00</t>
  </si>
  <si>
    <t>内蒙古察右前旗蒙发铁合金有限责任公司</t>
  </si>
  <si>
    <t>1400114530</t>
  </si>
  <si>
    <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|5-13R|304</t>
    </r>
  </si>
  <si>
    <t>1500</t>
  </si>
  <si>
    <t>呼和浩特办</t>
  </si>
  <si>
    <t>徐州智普电机维修有限公司</t>
  </si>
  <si>
    <t>1400001382</t>
  </si>
  <si>
    <r>
      <t>叶轮</t>
    </r>
    <r>
      <rPr>
        <sz val="11"/>
        <rFont val="Arial"/>
        <charset val="134"/>
      </rPr>
      <t>|NISO65-40-315B-01|HT200|D312|4</t>
    </r>
    <r>
      <rPr>
        <sz val="11"/>
        <rFont val="宋体"/>
        <charset val="134"/>
      </rPr>
      <t>原配</t>
    </r>
  </si>
  <si>
    <t>385</t>
  </si>
  <si>
    <t>徐州办</t>
  </si>
  <si>
    <t>1400001335</t>
  </si>
  <si>
    <r>
      <t>叶轮</t>
    </r>
    <r>
      <rPr>
        <sz val="11"/>
        <rFont val="Arial"/>
        <charset val="134"/>
      </rPr>
      <t>|NISO125-80-400B-01|HT200|D374|22</t>
    </r>
    <r>
      <rPr>
        <sz val="11"/>
        <rFont val="宋体"/>
        <charset val="134"/>
      </rPr>
      <t>原配</t>
    </r>
  </si>
  <si>
    <t>671</t>
  </si>
  <si>
    <t>1400003275</t>
  </si>
  <si>
    <r>
      <t>叶轮</t>
    </r>
    <r>
      <rPr>
        <sz val="11"/>
        <rFont val="Arial"/>
        <charset val="134"/>
      </rPr>
      <t>|TD65-50-01|HT200|φ200|50HZ</t>
    </r>
    <r>
      <rPr>
        <sz val="11"/>
        <rFont val="宋体"/>
        <charset val="134"/>
      </rPr>
      <t>原配</t>
    </r>
  </si>
  <si>
    <t>192</t>
  </si>
  <si>
    <t>合计：</t>
  </si>
  <si>
    <t>用户状态（签收）</t>
  </si>
  <si>
    <t>备注1：</t>
  </si>
  <si>
    <t>备注2：</t>
  </si>
  <si>
    <t>发件人：**联系电话：8888-8888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</si>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</sst>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6"/>
  <sheetViews>
    <sheetView tabSelected="1" zoomScale="85" zoomScaleNormal="85" zoomScaleSheetLayoutView="70" workbookViewId="0">
      <selection activeCell="B74" sqref="B74:B76"/>
    </sheetView>
  </sheetViews>
  <sheetFormatPr defaultColWidth="18.6666666666667" defaultRowHeight="30" customHeight="1"/>
  <cols>
    <col min="1" max="1" width="13.2333333333333" style="4" customWidth="1"/>
    <col min="2" max="4" width="18.6666666666667" style="4" customWidth="1"/>
    <col min="5" max="5" width="13.975" style="4" customWidth="1"/>
    <col min="6" max="6" width="14.7" style="4" customWidth="1"/>
    <col min="7" max="7" width="13.0916666666667" style="4" customWidth="1"/>
    <col min="8" max="8" width="15" style="4" customWidth="1"/>
    <col min="9" max="9" width="12.7916666666667" style="4" customWidth="1"/>
    <col min="10" max="10" width="13.0833333333333" style="4" customWidth="1"/>
    <col min="11" max="16384" width="18.6666666666667" style="4" customWidth="1"/>
  </cols>
  <sheetData>
    <row r="1" s="1" customFormat="1" ht="51" customHeight="1" spans="1:1">
      <c r="A1" s="5" t="s">
        <v>0</v>
      </c>
    </row>
    <row r="2" ht="42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23"/>
    </row>
    <row r="3" s="2" customFormat="1" ht="61" customHeight="1" spans="1:1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8" t="s">
        <v>9</v>
      </c>
      <c r="I3" s="9" t="s">
        <v>10</v>
      </c>
      <c r="J3" s="9" t="s">
        <v>11</v>
      </c>
      <c r="K3" s="24" t="s">
        <v>12</v>
      </c>
      <c r="L3" s="8" t="s">
        <v>13</v>
      </c>
    </row>
    <row r="4" s="3" customFormat="1" ht="33" customHeight="1" spans="1:12">
      <c r="A4" s="10">
        <v>373958</v>
      </c>
      <c r="B4" s="11" t="s">
        <v>14</v>
      </c>
      <c r="C4" s="12" t="s">
        <v>15</v>
      </c>
      <c r="D4" s="12" t="s">
        <v>16</v>
      </c>
      <c r="E4" s="13">
        <v>4</v>
      </c>
      <c r="F4" s="12" t="s">
        <v>17</v>
      </c>
      <c r="G4" s="14">
        <f>E4*F4</f>
        <v>528</v>
      </c>
      <c r="H4" s="14" t="s">
        <v>18</v>
      </c>
      <c r="I4" s="14">
        <v>1072</v>
      </c>
      <c r="J4" s="11" t="s">
        <v>19</v>
      </c>
      <c r="K4" s="14">
        <v>4011</v>
      </c>
      <c r="L4" s="25"/>
    </row>
    <row r="5" s="3" customFormat="1" ht="33" customHeight="1" spans="1:12">
      <c r="A5" s="10">
        <v>374164</v>
      </c>
      <c r="B5" s="11" t="s">
        <v>20</v>
      </c>
      <c r="C5" s="12" t="s">
        <v>21</v>
      </c>
      <c r="D5" s="12" t="s">
        <v>22</v>
      </c>
      <c r="E5" s="13">
        <v>1</v>
      </c>
      <c r="F5" s="12" t="s">
        <v>23</v>
      </c>
      <c r="G5" s="14">
        <f t="shared" ref="G5:G36" si="0">E5*F5</f>
        <v>187</v>
      </c>
      <c r="H5" s="14" t="s">
        <v>18</v>
      </c>
      <c r="I5" s="14">
        <v>1072</v>
      </c>
      <c r="J5" s="11" t="s">
        <v>24</v>
      </c>
      <c r="K5" s="14">
        <v>4014</v>
      </c>
      <c r="L5" s="25"/>
    </row>
    <row r="6" s="3" customFormat="1" ht="33" customHeight="1" spans="1:12">
      <c r="A6" s="10">
        <v>375637</v>
      </c>
      <c r="B6" s="11" t="s">
        <v>25</v>
      </c>
      <c r="C6" s="12" t="s">
        <v>26</v>
      </c>
      <c r="D6" s="11" t="s">
        <v>27</v>
      </c>
      <c r="E6" s="13">
        <v>1</v>
      </c>
      <c r="F6" s="12" t="s">
        <v>28</v>
      </c>
      <c r="G6" s="14">
        <f t="shared" si="0"/>
        <v>2146</v>
      </c>
      <c r="H6" s="14" t="s">
        <v>18</v>
      </c>
      <c r="I6" s="14">
        <v>1072</v>
      </c>
      <c r="J6" s="11" t="s">
        <v>29</v>
      </c>
      <c r="K6" s="14">
        <v>4104</v>
      </c>
      <c r="L6" s="25"/>
    </row>
    <row r="7" s="3" customFormat="1" ht="33" customHeight="1" spans="1:12">
      <c r="A7" s="15">
        <v>375638</v>
      </c>
      <c r="B7" s="16" t="s">
        <v>30</v>
      </c>
      <c r="C7" s="12" t="s">
        <v>31</v>
      </c>
      <c r="D7" s="12" t="s">
        <v>32</v>
      </c>
      <c r="E7" s="13">
        <v>4</v>
      </c>
      <c r="F7" s="12" t="s">
        <v>33</v>
      </c>
      <c r="G7" s="14">
        <f t="shared" si="0"/>
        <v>1196</v>
      </c>
      <c r="H7" s="14" t="s">
        <v>18</v>
      </c>
      <c r="I7" s="14">
        <v>1072</v>
      </c>
      <c r="J7" s="11" t="s">
        <v>34</v>
      </c>
      <c r="K7" s="14">
        <v>4022</v>
      </c>
      <c r="L7" s="25"/>
    </row>
    <row r="8" s="3" customFormat="1" ht="33" customHeight="1" spans="1:12">
      <c r="A8" s="17"/>
      <c r="B8" s="18"/>
      <c r="C8" s="12" t="s">
        <v>35</v>
      </c>
      <c r="D8" s="12" t="s">
        <v>36</v>
      </c>
      <c r="E8" s="13">
        <v>4</v>
      </c>
      <c r="F8" s="12" t="s">
        <v>37</v>
      </c>
      <c r="G8" s="14">
        <f t="shared" si="0"/>
        <v>1784</v>
      </c>
      <c r="H8" s="14" t="s">
        <v>18</v>
      </c>
      <c r="I8" s="14">
        <v>1072</v>
      </c>
      <c r="J8" s="11" t="s">
        <v>34</v>
      </c>
      <c r="K8" s="14">
        <v>4022</v>
      </c>
      <c r="L8" s="25"/>
    </row>
    <row r="9" s="3" customFormat="1" ht="33" customHeight="1" spans="1:12">
      <c r="A9" s="15">
        <v>375889</v>
      </c>
      <c r="B9" s="16" t="s">
        <v>38</v>
      </c>
      <c r="C9" s="12" t="s">
        <v>39</v>
      </c>
      <c r="D9" s="11" t="s">
        <v>40</v>
      </c>
      <c r="E9" s="13">
        <v>2</v>
      </c>
      <c r="F9" s="12" t="s">
        <v>41</v>
      </c>
      <c r="G9" s="14">
        <f t="shared" si="0"/>
        <v>100</v>
      </c>
      <c r="H9" s="14" t="s">
        <v>18</v>
      </c>
      <c r="I9" s="14">
        <v>1072</v>
      </c>
      <c r="J9" s="11" t="s">
        <v>42</v>
      </c>
      <c r="K9" s="14">
        <v>4072</v>
      </c>
      <c r="L9" s="25"/>
    </row>
    <row r="10" s="3" customFormat="1" ht="33" customHeight="1" spans="1:12">
      <c r="A10" s="19"/>
      <c r="B10" s="20"/>
      <c r="C10" s="12" t="s">
        <v>43</v>
      </c>
      <c r="D10" s="11" t="s">
        <v>44</v>
      </c>
      <c r="E10" s="13">
        <v>1</v>
      </c>
      <c r="F10" s="12" t="s">
        <v>45</v>
      </c>
      <c r="G10" s="14">
        <f t="shared" si="0"/>
        <v>814</v>
      </c>
      <c r="H10" s="14" t="s">
        <v>18</v>
      </c>
      <c r="I10" s="14">
        <v>1072</v>
      </c>
      <c r="J10" s="11" t="s">
        <v>42</v>
      </c>
      <c r="K10" s="14">
        <v>4072</v>
      </c>
      <c r="L10" s="25"/>
    </row>
    <row r="11" s="3" customFormat="1" ht="33" customHeight="1" spans="1:12">
      <c r="A11" s="19"/>
      <c r="B11" s="20"/>
      <c r="C11" s="12" t="s">
        <v>46</v>
      </c>
      <c r="D11" s="11" t="s">
        <v>47</v>
      </c>
      <c r="E11" s="13">
        <v>1</v>
      </c>
      <c r="F11" s="12" t="s">
        <v>48</v>
      </c>
      <c r="G11" s="14">
        <f t="shared" si="0"/>
        <v>242</v>
      </c>
      <c r="H11" s="14" t="s">
        <v>18</v>
      </c>
      <c r="I11" s="14">
        <v>1072</v>
      </c>
      <c r="J11" s="11" t="s">
        <v>42</v>
      </c>
      <c r="K11" s="14">
        <v>4072</v>
      </c>
      <c r="L11" s="25"/>
    </row>
    <row r="12" s="3" customFormat="1" ht="33" customHeight="1" spans="1:12">
      <c r="A12" s="19"/>
      <c r="B12" s="20"/>
      <c r="C12" s="12" t="s">
        <v>49</v>
      </c>
      <c r="D12" s="11" t="s">
        <v>50</v>
      </c>
      <c r="E12" s="13">
        <v>4</v>
      </c>
      <c r="F12" s="12" t="s">
        <v>51</v>
      </c>
      <c r="G12" s="14">
        <f t="shared" si="0"/>
        <v>96</v>
      </c>
      <c r="H12" s="14" t="s">
        <v>18</v>
      </c>
      <c r="I12" s="14">
        <v>1072</v>
      </c>
      <c r="J12" s="11" t="s">
        <v>42</v>
      </c>
      <c r="K12" s="14">
        <v>4072</v>
      </c>
      <c r="L12" s="25"/>
    </row>
    <row r="13" s="3" customFormat="1" ht="33" customHeight="1" spans="1:12">
      <c r="A13" s="19"/>
      <c r="B13" s="20"/>
      <c r="C13" s="12" t="s">
        <v>52</v>
      </c>
      <c r="D13" s="11" t="s">
        <v>53</v>
      </c>
      <c r="E13" s="13">
        <v>1</v>
      </c>
      <c r="F13" s="12" t="s">
        <v>54</v>
      </c>
      <c r="G13" s="14">
        <f t="shared" si="0"/>
        <v>30</v>
      </c>
      <c r="H13" s="14" t="s">
        <v>18</v>
      </c>
      <c r="I13" s="14">
        <v>1072</v>
      </c>
      <c r="J13" s="11" t="s">
        <v>42</v>
      </c>
      <c r="K13" s="14">
        <v>4072</v>
      </c>
      <c r="L13" s="25"/>
    </row>
    <row r="14" s="3" customFormat="1" ht="33" customHeight="1" spans="1:12">
      <c r="A14" s="19"/>
      <c r="B14" s="20"/>
      <c r="C14" s="12" t="s">
        <v>55</v>
      </c>
      <c r="D14" s="11" t="s">
        <v>56</v>
      </c>
      <c r="E14" s="13">
        <v>1</v>
      </c>
      <c r="F14" s="12" t="s">
        <v>57</v>
      </c>
      <c r="G14" s="14">
        <f t="shared" si="0"/>
        <v>55</v>
      </c>
      <c r="H14" s="14" t="s">
        <v>18</v>
      </c>
      <c r="I14" s="14">
        <v>1072</v>
      </c>
      <c r="J14" s="11" t="s">
        <v>42</v>
      </c>
      <c r="K14" s="14">
        <v>4072</v>
      </c>
      <c r="L14" s="25"/>
    </row>
    <row r="15" s="3" customFormat="1" ht="33" customHeight="1" spans="1:12">
      <c r="A15" s="19"/>
      <c r="B15" s="20"/>
      <c r="C15" s="12" t="s">
        <v>58</v>
      </c>
      <c r="D15" s="11" t="s">
        <v>59</v>
      </c>
      <c r="E15" s="13">
        <v>1</v>
      </c>
      <c r="F15" s="12" t="s">
        <v>60</v>
      </c>
      <c r="G15" s="14">
        <f t="shared" si="0"/>
        <v>374</v>
      </c>
      <c r="H15" s="14" t="s">
        <v>18</v>
      </c>
      <c r="I15" s="14">
        <v>1072</v>
      </c>
      <c r="J15" s="11" t="s">
        <v>42</v>
      </c>
      <c r="K15" s="14">
        <v>4072</v>
      </c>
      <c r="L15" s="25"/>
    </row>
    <row r="16" s="3" customFormat="1" ht="33" customHeight="1" spans="1:12">
      <c r="A16" s="19"/>
      <c r="B16" s="20"/>
      <c r="C16" s="12" t="s">
        <v>61</v>
      </c>
      <c r="D16" s="11" t="s">
        <v>62</v>
      </c>
      <c r="E16" s="13">
        <v>1</v>
      </c>
      <c r="F16" s="12" t="s">
        <v>63</v>
      </c>
      <c r="G16" s="14">
        <f t="shared" si="0"/>
        <v>616</v>
      </c>
      <c r="H16" s="14" t="s">
        <v>18</v>
      </c>
      <c r="I16" s="14">
        <v>1072</v>
      </c>
      <c r="J16" s="11" t="s">
        <v>42</v>
      </c>
      <c r="K16" s="14">
        <v>4072</v>
      </c>
      <c r="L16" s="25"/>
    </row>
    <row r="17" s="3" customFormat="1" ht="33" customHeight="1" spans="1:12">
      <c r="A17" s="19"/>
      <c r="B17" s="20"/>
      <c r="C17" s="12" t="s">
        <v>64</v>
      </c>
      <c r="D17" s="11" t="s">
        <v>65</v>
      </c>
      <c r="E17" s="13">
        <v>4</v>
      </c>
      <c r="F17" s="12" t="s">
        <v>60</v>
      </c>
      <c r="G17" s="14">
        <f t="shared" si="0"/>
        <v>1496</v>
      </c>
      <c r="H17" s="14" t="s">
        <v>18</v>
      </c>
      <c r="I17" s="14">
        <v>1072</v>
      </c>
      <c r="J17" s="11" t="s">
        <v>42</v>
      </c>
      <c r="K17" s="14">
        <v>4072</v>
      </c>
      <c r="L17" s="25"/>
    </row>
    <row r="18" s="3" customFormat="1" ht="33" customHeight="1" spans="1:12">
      <c r="A18" s="19"/>
      <c r="B18" s="20"/>
      <c r="C18" s="12" t="s">
        <v>66</v>
      </c>
      <c r="D18" s="11" t="s">
        <v>67</v>
      </c>
      <c r="E18" s="13">
        <v>2</v>
      </c>
      <c r="F18" s="12" t="s">
        <v>68</v>
      </c>
      <c r="G18" s="14">
        <f t="shared" si="0"/>
        <v>1188</v>
      </c>
      <c r="H18" s="14" t="s">
        <v>18</v>
      </c>
      <c r="I18" s="14">
        <v>1072</v>
      </c>
      <c r="J18" s="11" t="s">
        <v>42</v>
      </c>
      <c r="K18" s="14">
        <v>4072</v>
      </c>
      <c r="L18" s="25"/>
    </row>
    <row r="19" s="3" customFormat="1" ht="33" customHeight="1" spans="1:12">
      <c r="A19" s="19"/>
      <c r="B19" s="20"/>
      <c r="C19" s="12" t="s">
        <v>69</v>
      </c>
      <c r="D19" s="11" t="s">
        <v>70</v>
      </c>
      <c r="E19" s="13">
        <v>1</v>
      </c>
      <c r="F19" s="12" t="s">
        <v>71</v>
      </c>
      <c r="G19" s="14">
        <f t="shared" si="0"/>
        <v>602</v>
      </c>
      <c r="H19" s="14" t="s">
        <v>18</v>
      </c>
      <c r="I19" s="14">
        <v>1072</v>
      </c>
      <c r="J19" s="11" t="s">
        <v>42</v>
      </c>
      <c r="K19" s="14">
        <v>4072</v>
      </c>
      <c r="L19" s="25"/>
    </row>
    <row r="20" s="3" customFormat="1" ht="33" customHeight="1" spans="1:12">
      <c r="A20" s="19"/>
      <c r="B20" s="20"/>
      <c r="C20" s="12" t="s">
        <v>72</v>
      </c>
      <c r="D20" s="11" t="s">
        <v>73</v>
      </c>
      <c r="E20" s="13">
        <v>1</v>
      </c>
      <c r="F20" s="12" t="s">
        <v>74</v>
      </c>
      <c r="G20" s="14">
        <f t="shared" si="0"/>
        <v>4</v>
      </c>
      <c r="H20" s="14" t="s">
        <v>18</v>
      </c>
      <c r="I20" s="14">
        <v>1072</v>
      </c>
      <c r="J20" s="11" t="s">
        <v>42</v>
      </c>
      <c r="K20" s="14">
        <v>4072</v>
      </c>
      <c r="L20" s="25"/>
    </row>
    <row r="21" s="3" customFormat="1" ht="33" customHeight="1" spans="1:12">
      <c r="A21" s="17"/>
      <c r="B21" s="18"/>
      <c r="C21" s="12" t="s">
        <v>75</v>
      </c>
      <c r="D21" s="11" t="s">
        <v>76</v>
      </c>
      <c r="E21" s="13">
        <v>1</v>
      </c>
      <c r="F21" s="12" t="s">
        <v>77</v>
      </c>
      <c r="G21" s="14">
        <f t="shared" si="0"/>
        <v>2</v>
      </c>
      <c r="H21" s="14" t="s">
        <v>18</v>
      </c>
      <c r="I21" s="14">
        <v>1072</v>
      </c>
      <c r="J21" s="11" t="s">
        <v>42</v>
      </c>
      <c r="K21" s="14">
        <v>4072</v>
      </c>
      <c r="L21" s="25"/>
    </row>
    <row r="22" s="3" customFormat="1" ht="33" customHeight="1" spans="1:12">
      <c r="A22" s="15">
        <v>376676</v>
      </c>
      <c r="B22" s="16" t="s">
        <v>78</v>
      </c>
      <c r="C22" s="12" t="s">
        <v>79</v>
      </c>
      <c r="D22" s="12" t="s">
        <v>80</v>
      </c>
      <c r="E22" s="13">
        <v>1</v>
      </c>
      <c r="F22" s="12" t="s">
        <v>81</v>
      </c>
      <c r="G22" s="14">
        <f t="shared" si="0"/>
        <v>1408</v>
      </c>
      <c r="H22" s="14" t="s">
        <v>18</v>
      </c>
      <c r="I22" s="14">
        <v>1072</v>
      </c>
      <c r="J22" s="11" t="s">
        <v>82</v>
      </c>
      <c r="K22" s="14">
        <v>4004</v>
      </c>
      <c r="L22" s="25"/>
    </row>
    <row r="23" s="3" customFormat="1" ht="33" customHeight="1" spans="1:12">
      <c r="A23" s="17"/>
      <c r="B23" s="18"/>
      <c r="C23" s="12" t="s">
        <v>83</v>
      </c>
      <c r="D23" s="12" t="s">
        <v>84</v>
      </c>
      <c r="E23" s="13">
        <v>2</v>
      </c>
      <c r="F23" s="12" t="s">
        <v>85</v>
      </c>
      <c r="G23" s="14">
        <f t="shared" si="0"/>
        <v>510</v>
      </c>
      <c r="H23" s="14" t="s">
        <v>18</v>
      </c>
      <c r="I23" s="14">
        <v>1072</v>
      </c>
      <c r="J23" s="11" t="s">
        <v>82</v>
      </c>
      <c r="K23" s="14">
        <v>4004</v>
      </c>
      <c r="L23" s="25"/>
    </row>
    <row r="24" s="3" customFormat="1" ht="33" customHeight="1" spans="1:12">
      <c r="A24" s="15">
        <v>376762</v>
      </c>
      <c r="B24" s="16" t="s">
        <v>86</v>
      </c>
      <c r="C24" s="12" t="s">
        <v>87</v>
      </c>
      <c r="D24" s="12" t="s">
        <v>88</v>
      </c>
      <c r="E24" s="13">
        <v>1</v>
      </c>
      <c r="F24" s="12" t="s">
        <v>89</v>
      </c>
      <c r="G24" s="14">
        <f t="shared" si="0"/>
        <v>200</v>
      </c>
      <c r="H24" s="14" t="s">
        <v>18</v>
      </c>
      <c r="I24" s="14">
        <v>1072</v>
      </c>
      <c r="J24" s="11" t="s">
        <v>90</v>
      </c>
      <c r="K24" s="14">
        <v>4018</v>
      </c>
      <c r="L24" s="25"/>
    </row>
    <row r="25" s="3" customFormat="1" ht="33" customHeight="1" spans="1:12">
      <c r="A25" s="17"/>
      <c r="B25" s="18"/>
      <c r="C25" s="12" t="s">
        <v>91</v>
      </c>
      <c r="D25" s="11" t="s">
        <v>92</v>
      </c>
      <c r="E25" s="13">
        <v>2</v>
      </c>
      <c r="F25" s="12" t="s">
        <v>41</v>
      </c>
      <c r="G25" s="14">
        <f t="shared" si="0"/>
        <v>100</v>
      </c>
      <c r="H25" s="14" t="s">
        <v>18</v>
      </c>
      <c r="I25" s="14">
        <v>1072</v>
      </c>
      <c r="J25" s="11" t="s">
        <v>90</v>
      </c>
      <c r="K25" s="14">
        <v>4018</v>
      </c>
      <c r="L25" s="25"/>
    </row>
    <row r="26" s="3" customFormat="1" ht="33" customHeight="1" spans="1:12">
      <c r="A26" s="10">
        <v>376851</v>
      </c>
      <c r="B26" s="11" t="s">
        <v>93</v>
      </c>
      <c r="C26" s="12" t="s">
        <v>94</v>
      </c>
      <c r="D26" s="11" t="s">
        <v>95</v>
      </c>
      <c r="E26" s="13">
        <v>1</v>
      </c>
      <c r="F26" s="12" t="s">
        <v>96</v>
      </c>
      <c r="G26" s="14">
        <f t="shared" si="0"/>
        <v>1940</v>
      </c>
      <c r="H26" s="14" t="s">
        <v>18</v>
      </c>
      <c r="I26" s="14">
        <v>1072</v>
      </c>
      <c r="J26" s="11" t="s">
        <v>97</v>
      </c>
      <c r="K26" s="14">
        <v>4069</v>
      </c>
      <c r="L26" s="25"/>
    </row>
    <row r="27" s="3" customFormat="1" ht="33" customHeight="1" spans="1:12">
      <c r="A27" s="15">
        <v>376997</v>
      </c>
      <c r="B27" s="21" t="s">
        <v>98</v>
      </c>
      <c r="C27" s="12" t="s">
        <v>99</v>
      </c>
      <c r="D27" s="12" t="s">
        <v>100</v>
      </c>
      <c r="E27" s="13">
        <v>1</v>
      </c>
      <c r="F27" s="12" t="s">
        <v>101</v>
      </c>
      <c r="G27" s="14">
        <f t="shared" si="0"/>
        <v>89</v>
      </c>
      <c r="H27" s="14" t="s">
        <v>18</v>
      </c>
      <c r="I27" s="14">
        <v>1072</v>
      </c>
      <c r="J27" s="11" t="s">
        <v>102</v>
      </c>
      <c r="K27" s="14">
        <v>4092</v>
      </c>
      <c r="L27" s="25"/>
    </row>
    <row r="28" s="3" customFormat="1" ht="33" customHeight="1" spans="1:12">
      <c r="A28" s="17"/>
      <c r="B28" s="22"/>
      <c r="C28" s="12" t="s">
        <v>103</v>
      </c>
      <c r="D28" s="11" t="s">
        <v>104</v>
      </c>
      <c r="E28" s="13">
        <v>2</v>
      </c>
      <c r="F28" s="12" t="s">
        <v>54</v>
      </c>
      <c r="G28" s="14">
        <f t="shared" si="0"/>
        <v>60</v>
      </c>
      <c r="H28" s="14" t="s">
        <v>18</v>
      </c>
      <c r="I28" s="14">
        <v>1072</v>
      </c>
      <c r="J28" s="11" t="s">
        <v>102</v>
      </c>
      <c r="K28" s="14">
        <v>4092</v>
      </c>
      <c r="L28" s="25"/>
    </row>
    <row r="29" s="3" customFormat="1" ht="33" customHeight="1" spans="1:12">
      <c r="A29" s="15">
        <v>377067</v>
      </c>
      <c r="B29" s="16" t="s">
        <v>105</v>
      </c>
      <c r="C29" s="12" t="s">
        <v>106</v>
      </c>
      <c r="D29" s="11" t="s">
        <v>107</v>
      </c>
      <c r="E29" s="13">
        <v>6</v>
      </c>
      <c r="F29" s="12" t="s">
        <v>108</v>
      </c>
      <c r="G29" s="14">
        <f t="shared" si="0"/>
        <v>2556</v>
      </c>
      <c r="H29" s="14" t="s">
        <v>18</v>
      </c>
      <c r="I29" s="14">
        <v>1072</v>
      </c>
      <c r="J29" s="11" t="s">
        <v>109</v>
      </c>
      <c r="K29" s="14">
        <v>4213</v>
      </c>
      <c r="L29" s="25"/>
    </row>
    <row r="30" s="3" customFormat="1" ht="33" customHeight="1" spans="1:12">
      <c r="A30" s="17"/>
      <c r="B30" s="18"/>
      <c r="C30" s="12" t="s">
        <v>110</v>
      </c>
      <c r="D30" s="12" t="s">
        <v>111</v>
      </c>
      <c r="E30" s="13">
        <v>6</v>
      </c>
      <c r="F30" s="12" t="s">
        <v>23</v>
      </c>
      <c r="G30" s="14">
        <f t="shared" si="0"/>
        <v>1122</v>
      </c>
      <c r="H30" s="14" t="s">
        <v>18</v>
      </c>
      <c r="I30" s="14">
        <v>1072</v>
      </c>
      <c r="J30" s="11" t="s">
        <v>109</v>
      </c>
      <c r="K30" s="14">
        <v>4213</v>
      </c>
      <c r="L30" s="25"/>
    </row>
    <row r="31" s="3" customFormat="1" ht="33" customHeight="1" spans="1:12">
      <c r="A31" s="15">
        <v>377075</v>
      </c>
      <c r="B31" s="16" t="s">
        <v>112</v>
      </c>
      <c r="C31" s="12" t="s">
        <v>113</v>
      </c>
      <c r="D31" s="11" t="s">
        <v>114</v>
      </c>
      <c r="E31" s="13">
        <v>1</v>
      </c>
      <c r="F31" s="12" t="s">
        <v>115</v>
      </c>
      <c r="G31" s="14">
        <f t="shared" si="0"/>
        <v>670</v>
      </c>
      <c r="H31" s="14" t="s">
        <v>18</v>
      </c>
      <c r="I31" s="14">
        <v>1072</v>
      </c>
      <c r="J31" s="11" t="s">
        <v>42</v>
      </c>
      <c r="K31" s="14">
        <v>4072</v>
      </c>
      <c r="L31" s="25"/>
    </row>
    <row r="32" s="3" customFormat="1" ht="33" customHeight="1" spans="1:12">
      <c r="A32" s="19"/>
      <c r="B32" s="20"/>
      <c r="C32" s="12" t="s">
        <v>116</v>
      </c>
      <c r="D32" s="11" t="s">
        <v>117</v>
      </c>
      <c r="E32" s="13">
        <v>1</v>
      </c>
      <c r="F32" s="12" t="s">
        <v>118</v>
      </c>
      <c r="G32" s="14">
        <f t="shared" si="0"/>
        <v>770</v>
      </c>
      <c r="H32" s="14" t="s">
        <v>18</v>
      </c>
      <c r="I32" s="14">
        <v>1072</v>
      </c>
      <c r="J32" s="11" t="s">
        <v>42</v>
      </c>
      <c r="K32" s="14">
        <v>4072</v>
      </c>
      <c r="L32" s="25"/>
    </row>
    <row r="33" s="3" customFormat="1" ht="33" customHeight="1" spans="1:12">
      <c r="A33" s="19"/>
      <c r="B33" s="20"/>
      <c r="C33" s="12" t="s">
        <v>119</v>
      </c>
      <c r="D33" s="12" t="s">
        <v>120</v>
      </c>
      <c r="E33" s="13">
        <v>1</v>
      </c>
      <c r="F33" s="12" t="s">
        <v>121</v>
      </c>
      <c r="G33" s="14">
        <f t="shared" si="0"/>
        <v>730</v>
      </c>
      <c r="H33" s="14" t="s">
        <v>18</v>
      </c>
      <c r="I33" s="14">
        <v>1072</v>
      </c>
      <c r="J33" s="11" t="s">
        <v>42</v>
      </c>
      <c r="K33" s="14">
        <v>4072</v>
      </c>
      <c r="L33" s="25"/>
    </row>
    <row r="34" s="3" customFormat="1" ht="33" customHeight="1" spans="1:12">
      <c r="A34" s="19"/>
      <c r="B34" s="20"/>
      <c r="C34" s="12" t="s">
        <v>122</v>
      </c>
      <c r="D34" s="12" t="s">
        <v>123</v>
      </c>
      <c r="E34" s="13">
        <v>1</v>
      </c>
      <c r="F34" s="12" t="s">
        <v>124</v>
      </c>
      <c r="G34" s="14">
        <f t="shared" si="0"/>
        <v>860</v>
      </c>
      <c r="H34" s="14" t="s">
        <v>18</v>
      </c>
      <c r="I34" s="14">
        <v>1072</v>
      </c>
      <c r="J34" s="11" t="s">
        <v>42</v>
      </c>
      <c r="K34" s="14">
        <v>4072</v>
      </c>
      <c r="L34" s="25"/>
    </row>
    <row r="35" s="3" customFormat="1" ht="33" customHeight="1" spans="1:12">
      <c r="A35" s="17"/>
      <c r="B35" s="18"/>
      <c r="C35" s="12" t="s">
        <v>125</v>
      </c>
      <c r="D35" s="12" t="s">
        <v>126</v>
      </c>
      <c r="E35" s="13">
        <v>5</v>
      </c>
      <c r="F35" s="12" t="s">
        <v>77</v>
      </c>
      <c r="G35" s="14">
        <f t="shared" si="0"/>
        <v>10</v>
      </c>
      <c r="H35" s="14" t="s">
        <v>18</v>
      </c>
      <c r="I35" s="14">
        <v>1072</v>
      </c>
      <c r="J35" s="11" t="s">
        <v>42</v>
      </c>
      <c r="K35" s="14">
        <v>4072</v>
      </c>
      <c r="L35" s="25"/>
    </row>
    <row r="36" s="3" customFormat="1" ht="33" customHeight="1" spans="1:12">
      <c r="A36" s="10">
        <v>377078</v>
      </c>
      <c r="B36" s="11" t="s">
        <v>127</v>
      </c>
      <c r="C36" s="12" t="s">
        <v>128</v>
      </c>
      <c r="D36" s="11" t="s">
        <v>129</v>
      </c>
      <c r="E36" s="13">
        <v>1</v>
      </c>
      <c r="F36" s="12" t="s">
        <v>130</v>
      </c>
      <c r="G36" s="14">
        <f t="shared" si="0"/>
        <v>1082</v>
      </c>
      <c r="H36" s="14" t="s">
        <v>18</v>
      </c>
      <c r="I36" s="14">
        <v>1072</v>
      </c>
      <c r="J36" s="11" t="s">
        <v>19</v>
      </c>
      <c r="K36" s="14">
        <v>4011</v>
      </c>
      <c r="L36" s="25"/>
    </row>
    <row r="37" s="3" customFormat="1" ht="33" customHeight="1" spans="1:12">
      <c r="A37" s="15">
        <v>377096</v>
      </c>
      <c r="B37" s="16" t="s">
        <v>131</v>
      </c>
      <c r="C37" s="12" t="s">
        <v>132</v>
      </c>
      <c r="D37" s="11" t="s">
        <v>133</v>
      </c>
      <c r="E37" s="13">
        <v>1</v>
      </c>
      <c r="F37" s="12" t="s">
        <v>134</v>
      </c>
      <c r="G37" s="14">
        <f t="shared" ref="G37:G68" si="1">E37*F37</f>
        <v>7</v>
      </c>
      <c r="H37" s="14" t="s">
        <v>18</v>
      </c>
      <c r="I37" s="14">
        <v>1072</v>
      </c>
      <c r="J37" s="11" t="s">
        <v>135</v>
      </c>
      <c r="K37" s="14">
        <v>4068</v>
      </c>
      <c r="L37" s="25"/>
    </row>
    <row r="38" s="3" customFormat="1" ht="33" customHeight="1" spans="1:12">
      <c r="A38" s="19"/>
      <c r="B38" s="20"/>
      <c r="C38" s="12" t="s">
        <v>136</v>
      </c>
      <c r="D38" s="11" t="s">
        <v>137</v>
      </c>
      <c r="E38" s="13">
        <v>1</v>
      </c>
      <c r="F38" s="12" t="s">
        <v>138</v>
      </c>
      <c r="G38" s="14">
        <f t="shared" si="1"/>
        <v>297</v>
      </c>
      <c r="H38" s="14" t="s">
        <v>18</v>
      </c>
      <c r="I38" s="14">
        <v>1072</v>
      </c>
      <c r="J38" s="11" t="s">
        <v>135</v>
      </c>
      <c r="K38" s="14">
        <v>4068</v>
      </c>
      <c r="L38" s="25"/>
    </row>
    <row r="39" s="3" customFormat="1" ht="33" customHeight="1" spans="1:12">
      <c r="A39" s="19"/>
      <c r="B39" s="20"/>
      <c r="C39" s="12" t="s">
        <v>139</v>
      </c>
      <c r="D39" s="11" t="s">
        <v>140</v>
      </c>
      <c r="E39" s="13">
        <v>1</v>
      </c>
      <c r="F39" s="12" t="s">
        <v>141</v>
      </c>
      <c r="G39" s="14">
        <f t="shared" si="1"/>
        <v>380</v>
      </c>
      <c r="H39" s="14" t="s">
        <v>18</v>
      </c>
      <c r="I39" s="14">
        <v>1072</v>
      </c>
      <c r="J39" s="11" t="s">
        <v>135</v>
      </c>
      <c r="K39" s="14">
        <v>4068</v>
      </c>
      <c r="L39" s="25"/>
    </row>
    <row r="40" s="3" customFormat="1" ht="33" customHeight="1" spans="1:12">
      <c r="A40" s="17"/>
      <c r="B40" s="18"/>
      <c r="C40" s="12" t="s">
        <v>142</v>
      </c>
      <c r="D40" s="11" t="s">
        <v>143</v>
      </c>
      <c r="E40" s="13">
        <v>1</v>
      </c>
      <c r="F40" s="12" t="s">
        <v>74</v>
      </c>
      <c r="G40" s="14">
        <f t="shared" si="1"/>
        <v>4</v>
      </c>
      <c r="H40" s="14" t="s">
        <v>18</v>
      </c>
      <c r="I40" s="14">
        <v>1072</v>
      </c>
      <c r="J40" s="11" t="s">
        <v>135</v>
      </c>
      <c r="K40" s="14">
        <v>4068</v>
      </c>
      <c r="L40" s="25"/>
    </row>
    <row r="41" s="3" customFormat="1" ht="33" customHeight="1" spans="1:12">
      <c r="A41" s="10">
        <v>377122</v>
      </c>
      <c r="B41" s="11" t="s">
        <v>144</v>
      </c>
      <c r="C41" s="12" t="s">
        <v>145</v>
      </c>
      <c r="D41" s="12" t="s">
        <v>146</v>
      </c>
      <c r="E41" s="13">
        <v>1</v>
      </c>
      <c r="F41" s="12" t="s">
        <v>147</v>
      </c>
      <c r="G41" s="14">
        <f t="shared" si="1"/>
        <v>281</v>
      </c>
      <c r="H41" s="14" t="s">
        <v>18</v>
      </c>
      <c r="I41" s="14">
        <v>1072</v>
      </c>
      <c r="J41" s="11" t="s">
        <v>97</v>
      </c>
      <c r="K41" s="14">
        <v>4069</v>
      </c>
      <c r="L41" s="25"/>
    </row>
    <row r="42" s="3" customFormat="1" ht="33" customHeight="1" spans="1:12">
      <c r="A42" s="10">
        <v>377166</v>
      </c>
      <c r="B42" s="11" t="s">
        <v>148</v>
      </c>
      <c r="C42" s="12" t="s">
        <v>149</v>
      </c>
      <c r="D42" s="12" t="s">
        <v>150</v>
      </c>
      <c r="E42" s="13">
        <v>1</v>
      </c>
      <c r="F42" s="12" t="s">
        <v>151</v>
      </c>
      <c r="G42" s="14">
        <f t="shared" si="1"/>
        <v>407</v>
      </c>
      <c r="H42" s="14" t="s">
        <v>18</v>
      </c>
      <c r="I42" s="14">
        <v>1072</v>
      </c>
      <c r="J42" s="11" t="s">
        <v>152</v>
      </c>
      <c r="K42" s="14">
        <v>4124</v>
      </c>
      <c r="L42" s="25"/>
    </row>
    <row r="43" s="3" customFormat="1" ht="33" customHeight="1" spans="1:12">
      <c r="A43" s="10">
        <v>377176</v>
      </c>
      <c r="B43" s="11" t="s">
        <v>153</v>
      </c>
      <c r="C43" s="12" t="s">
        <v>154</v>
      </c>
      <c r="D43" s="12" t="s">
        <v>155</v>
      </c>
      <c r="E43" s="13">
        <v>1</v>
      </c>
      <c r="F43" s="12" t="s">
        <v>156</v>
      </c>
      <c r="G43" s="14">
        <f t="shared" si="1"/>
        <v>534</v>
      </c>
      <c r="H43" s="14" t="s">
        <v>18</v>
      </c>
      <c r="I43" s="14">
        <v>1072</v>
      </c>
      <c r="J43" s="11" t="s">
        <v>157</v>
      </c>
      <c r="K43" s="14">
        <v>4186</v>
      </c>
      <c r="L43" s="25"/>
    </row>
    <row r="44" s="3" customFormat="1" ht="33" customHeight="1" spans="1:12">
      <c r="A44" s="15">
        <v>377246</v>
      </c>
      <c r="B44" s="16" t="s">
        <v>158</v>
      </c>
      <c r="C44" s="12" t="s">
        <v>159</v>
      </c>
      <c r="D44" s="11" t="s">
        <v>160</v>
      </c>
      <c r="E44" s="13">
        <v>2</v>
      </c>
      <c r="F44" s="12" t="s">
        <v>161</v>
      </c>
      <c r="G44" s="14">
        <f t="shared" si="1"/>
        <v>198</v>
      </c>
      <c r="H44" s="14" t="s">
        <v>18</v>
      </c>
      <c r="I44" s="14">
        <v>1072</v>
      </c>
      <c r="J44" s="11" t="s">
        <v>162</v>
      </c>
      <c r="K44" s="14">
        <v>4171</v>
      </c>
      <c r="L44" s="25"/>
    </row>
    <row r="45" s="3" customFormat="1" ht="33" customHeight="1" spans="1:12">
      <c r="A45" s="19"/>
      <c r="B45" s="20"/>
      <c r="C45" s="12" t="s">
        <v>163</v>
      </c>
      <c r="D45" s="12" t="s">
        <v>164</v>
      </c>
      <c r="E45" s="13">
        <v>1</v>
      </c>
      <c r="F45" s="12" t="s">
        <v>165</v>
      </c>
      <c r="G45" s="14">
        <f t="shared" si="1"/>
        <v>11</v>
      </c>
      <c r="H45" s="14" t="s">
        <v>18</v>
      </c>
      <c r="I45" s="14">
        <v>1072</v>
      </c>
      <c r="J45" s="11" t="s">
        <v>162</v>
      </c>
      <c r="K45" s="14">
        <v>4171</v>
      </c>
      <c r="L45" s="25"/>
    </row>
    <row r="46" s="3" customFormat="1" ht="33" customHeight="1" spans="1:12">
      <c r="A46" s="17"/>
      <c r="B46" s="18"/>
      <c r="C46" s="12" t="s">
        <v>83</v>
      </c>
      <c r="D46" s="12" t="s">
        <v>84</v>
      </c>
      <c r="E46" s="13">
        <v>1</v>
      </c>
      <c r="F46" s="12" t="s">
        <v>48</v>
      </c>
      <c r="G46" s="14">
        <f t="shared" si="1"/>
        <v>242</v>
      </c>
      <c r="H46" s="14" t="s">
        <v>18</v>
      </c>
      <c r="I46" s="14">
        <v>1072</v>
      </c>
      <c r="J46" s="11" t="s">
        <v>162</v>
      </c>
      <c r="K46" s="14">
        <v>4171</v>
      </c>
      <c r="L46" s="25"/>
    </row>
    <row r="47" s="3" customFormat="1" ht="33" customHeight="1" spans="1:12">
      <c r="A47" s="10">
        <v>377284</v>
      </c>
      <c r="B47" s="11" t="s">
        <v>166</v>
      </c>
      <c r="C47" s="12" t="s">
        <v>167</v>
      </c>
      <c r="D47" s="12" t="s">
        <v>168</v>
      </c>
      <c r="E47" s="13">
        <v>1</v>
      </c>
      <c r="F47" s="12" t="s">
        <v>169</v>
      </c>
      <c r="G47" s="14">
        <f t="shared" si="1"/>
        <v>9237</v>
      </c>
      <c r="H47" s="14" t="s">
        <v>18</v>
      </c>
      <c r="I47" s="14">
        <v>1072</v>
      </c>
      <c r="J47" s="11" t="s">
        <v>170</v>
      </c>
      <c r="K47" s="14">
        <v>4010</v>
      </c>
      <c r="L47" s="25"/>
    </row>
    <row r="48" s="3" customFormat="1" ht="33" customHeight="1" spans="1:12">
      <c r="A48" s="10">
        <v>377299</v>
      </c>
      <c r="B48" s="11" t="s">
        <v>171</v>
      </c>
      <c r="C48" s="12" t="s">
        <v>172</v>
      </c>
      <c r="D48" s="11" t="s">
        <v>173</v>
      </c>
      <c r="E48" s="13">
        <v>2</v>
      </c>
      <c r="F48" s="12" t="s">
        <v>174</v>
      </c>
      <c r="G48" s="14">
        <f t="shared" si="1"/>
        <v>120</v>
      </c>
      <c r="H48" s="14" t="s">
        <v>18</v>
      </c>
      <c r="I48" s="14">
        <v>1072</v>
      </c>
      <c r="J48" s="11" t="s">
        <v>175</v>
      </c>
      <c r="K48" s="14">
        <v>4132</v>
      </c>
      <c r="L48" s="25"/>
    </row>
    <row r="49" s="3" customFormat="1" ht="33" customHeight="1" spans="1:12">
      <c r="A49" s="10">
        <v>377311</v>
      </c>
      <c r="B49" s="11" t="s">
        <v>176</v>
      </c>
      <c r="C49" s="12" t="s">
        <v>177</v>
      </c>
      <c r="D49" s="12" t="s">
        <v>178</v>
      </c>
      <c r="E49" s="13">
        <v>1</v>
      </c>
      <c r="F49" s="12" t="s">
        <v>17</v>
      </c>
      <c r="G49" s="14">
        <f t="shared" si="1"/>
        <v>132</v>
      </c>
      <c r="H49" s="14" t="s">
        <v>18</v>
      </c>
      <c r="I49" s="14">
        <v>1072</v>
      </c>
      <c r="J49" s="11" t="s">
        <v>179</v>
      </c>
      <c r="K49" s="14">
        <v>4131</v>
      </c>
      <c r="L49" s="25"/>
    </row>
    <row r="50" s="3" customFormat="1" ht="33" customHeight="1" spans="1:12">
      <c r="A50" s="10">
        <v>377345</v>
      </c>
      <c r="B50" s="11" t="s">
        <v>180</v>
      </c>
      <c r="C50" s="12" t="s">
        <v>83</v>
      </c>
      <c r="D50" s="12" t="s">
        <v>84</v>
      </c>
      <c r="E50" s="13">
        <v>1</v>
      </c>
      <c r="F50" s="12" t="s">
        <v>48</v>
      </c>
      <c r="G50" s="14">
        <f t="shared" si="1"/>
        <v>242</v>
      </c>
      <c r="H50" s="14" t="s">
        <v>18</v>
      </c>
      <c r="I50" s="14">
        <v>1072</v>
      </c>
      <c r="J50" s="11" t="s">
        <v>24</v>
      </c>
      <c r="K50" s="14">
        <v>4014</v>
      </c>
      <c r="L50" s="25"/>
    </row>
    <row r="51" s="3" customFormat="1" ht="33" customHeight="1" spans="1:12">
      <c r="A51" s="10">
        <v>377358</v>
      </c>
      <c r="B51" s="11" t="s">
        <v>181</v>
      </c>
      <c r="C51" s="12" t="s">
        <v>83</v>
      </c>
      <c r="D51" s="12" t="s">
        <v>84</v>
      </c>
      <c r="E51" s="13">
        <v>1</v>
      </c>
      <c r="F51" s="12" t="s">
        <v>48</v>
      </c>
      <c r="G51" s="14">
        <f t="shared" si="1"/>
        <v>242</v>
      </c>
      <c r="H51" s="14" t="s">
        <v>18</v>
      </c>
      <c r="I51" s="14">
        <v>1072</v>
      </c>
      <c r="J51" s="11" t="s">
        <v>182</v>
      </c>
      <c r="K51" s="14">
        <v>4175</v>
      </c>
      <c r="L51" s="25"/>
    </row>
    <row r="52" s="3" customFormat="1" ht="33" customHeight="1" spans="1:12">
      <c r="A52" s="15">
        <v>377364</v>
      </c>
      <c r="B52" s="16" t="s">
        <v>183</v>
      </c>
      <c r="C52" s="12" t="s">
        <v>184</v>
      </c>
      <c r="D52" s="11" t="s">
        <v>185</v>
      </c>
      <c r="E52" s="13">
        <v>1</v>
      </c>
      <c r="F52" s="12" t="s">
        <v>41</v>
      </c>
      <c r="G52" s="14">
        <f t="shared" si="1"/>
        <v>50</v>
      </c>
      <c r="H52" s="14" t="s">
        <v>18</v>
      </c>
      <c r="I52" s="14">
        <v>1072</v>
      </c>
      <c r="J52" s="11" t="s">
        <v>186</v>
      </c>
      <c r="K52" s="14">
        <v>4073</v>
      </c>
      <c r="L52" s="25"/>
    </row>
    <row r="53" s="3" customFormat="1" ht="33" customHeight="1" spans="1:12">
      <c r="A53" s="17"/>
      <c r="B53" s="18"/>
      <c r="C53" s="12" t="s">
        <v>187</v>
      </c>
      <c r="D53" s="12" t="s">
        <v>188</v>
      </c>
      <c r="E53" s="13">
        <v>1</v>
      </c>
      <c r="F53" s="12" t="s">
        <v>17</v>
      </c>
      <c r="G53" s="14">
        <f t="shared" si="1"/>
        <v>132</v>
      </c>
      <c r="H53" s="14" t="s">
        <v>18</v>
      </c>
      <c r="I53" s="14">
        <v>1072</v>
      </c>
      <c r="J53" s="11" t="s">
        <v>186</v>
      </c>
      <c r="K53" s="14">
        <v>4073</v>
      </c>
      <c r="L53" s="25"/>
    </row>
    <row r="54" s="3" customFormat="1" ht="33" customHeight="1" spans="1:12">
      <c r="A54" s="15">
        <v>377467</v>
      </c>
      <c r="B54" s="16" t="s">
        <v>189</v>
      </c>
      <c r="C54" s="12" t="s">
        <v>190</v>
      </c>
      <c r="D54" s="11" t="s">
        <v>191</v>
      </c>
      <c r="E54" s="13">
        <v>1</v>
      </c>
      <c r="F54" s="12" t="s">
        <v>192</v>
      </c>
      <c r="G54" s="14">
        <f t="shared" si="1"/>
        <v>460</v>
      </c>
      <c r="H54" s="14" t="s">
        <v>18</v>
      </c>
      <c r="I54" s="14">
        <v>1072</v>
      </c>
      <c r="J54" s="11" t="s">
        <v>193</v>
      </c>
      <c r="K54" s="14">
        <v>4009</v>
      </c>
      <c r="L54" s="25"/>
    </row>
    <row r="55" s="3" customFormat="1" ht="33" customHeight="1" spans="1:12">
      <c r="A55" s="19"/>
      <c r="B55" s="20"/>
      <c r="C55" s="12" t="s">
        <v>194</v>
      </c>
      <c r="D55" s="11" t="s">
        <v>195</v>
      </c>
      <c r="E55" s="13">
        <v>1</v>
      </c>
      <c r="F55" s="12" t="s">
        <v>196</v>
      </c>
      <c r="G55" s="14">
        <f t="shared" si="1"/>
        <v>1360</v>
      </c>
      <c r="H55" s="14" t="s">
        <v>18</v>
      </c>
      <c r="I55" s="14">
        <v>1072</v>
      </c>
      <c r="J55" s="11" t="s">
        <v>193</v>
      </c>
      <c r="K55" s="14">
        <v>4009</v>
      </c>
      <c r="L55" s="25"/>
    </row>
    <row r="56" s="3" customFormat="1" ht="33" customHeight="1" spans="1:12">
      <c r="A56" s="19"/>
      <c r="B56" s="20"/>
      <c r="C56" s="12" t="s">
        <v>197</v>
      </c>
      <c r="D56" s="12" t="s">
        <v>198</v>
      </c>
      <c r="E56" s="13">
        <v>4</v>
      </c>
      <c r="F56" s="12" t="s">
        <v>199</v>
      </c>
      <c r="G56" s="14">
        <f t="shared" si="1"/>
        <v>2672</v>
      </c>
      <c r="H56" s="14" t="s">
        <v>18</v>
      </c>
      <c r="I56" s="14">
        <v>1072</v>
      </c>
      <c r="J56" s="11" t="s">
        <v>193</v>
      </c>
      <c r="K56" s="14">
        <v>4009</v>
      </c>
      <c r="L56" s="25"/>
    </row>
    <row r="57" s="3" customFormat="1" ht="33" customHeight="1" spans="1:12">
      <c r="A57" s="17"/>
      <c r="B57" s="18"/>
      <c r="C57" s="12" t="s">
        <v>200</v>
      </c>
      <c r="D57" s="11" t="s">
        <v>201</v>
      </c>
      <c r="E57" s="13">
        <v>1</v>
      </c>
      <c r="F57" s="12" t="s">
        <v>202</v>
      </c>
      <c r="G57" s="14">
        <f t="shared" si="1"/>
        <v>156</v>
      </c>
      <c r="H57" s="14" t="s">
        <v>18</v>
      </c>
      <c r="I57" s="14">
        <v>1072</v>
      </c>
      <c r="J57" s="11" t="s">
        <v>193</v>
      </c>
      <c r="K57" s="14">
        <v>4009</v>
      </c>
      <c r="L57" s="25"/>
    </row>
    <row r="58" s="3" customFormat="1" ht="33" customHeight="1" spans="1:12">
      <c r="A58" s="15">
        <v>377494</v>
      </c>
      <c r="B58" s="16" t="s">
        <v>203</v>
      </c>
      <c r="C58" s="12" t="s">
        <v>204</v>
      </c>
      <c r="D58" s="12" t="s">
        <v>205</v>
      </c>
      <c r="E58" s="13">
        <v>1</v>
      </c>
      <c r="F58" s="12" t="s">
        <v>206</v>
      </c>
      <c r="G58" s="14">
        <f t="shared" si="1"/>
        <v>215</v>
      </c>
      <c r="H58" s="14" t="s">
        <v>18</v>
      </c>
      <c r="I58" s="14">
        <v>1072</v>
      </c>
      <c r="J58" s="11" t="s">
        <v>207</v>
      </c>
      <c r="K58" s="14">
        <v>4066</v>
      </c>
      <c r="L58" s="25"/>
    </row>
    <row r="59" s="3" customFormat="1" ht="33" customHeight="1" spans="1:12">
      <c r="A59" s="19"/>
      <c r="B59" s="20"/>
      <c r="C59" s="12" t="s">
        <v>208</v>
      </c>
      <c r="D59" s="11" t="s">
        <v>209</v>
      </c>
      <c r="E59" s="13">
        <v>1</v>
      </c>
      <c r="F59" s="12" t="s">
        <v>210</v>
      </c>
      <c r="G59" s="14">
        <f t="shared" si="1"/>
        <v>750</v>
      </c>
      <c r="H59" s="14" t="s">
        <v>18</v>
      </c>
      <c r="I59" s="14">
        <v>1072</v>
      </c>
      <c r="J59" s="11" t="s">
        <v>207</v>
      </c>
      <c r="K59" s="14">
        <v>4066</v>
      </c>
      <c r="L59" s="25"/>
    </row>
    <row r="60" s="3" customFormat="1" ht="33" customHeight="1" spans="1:12">
      <c r="A60" s="17"/>
      <c r="B60" s="18"/>
      <c r="C60" s="12" t="s">
        <v>211</v>
      </c>
      <c r="D60" s="12" t="s">
        <v>212</v>
      </c>
      <c r="E60" s="13">
        <v>2</v>
      </c>
      <c r="F60" s="12" t="s">
        <v>213</v>
      </c>
      <c r="G60" s="14">
        <f t="shared" si="1"/>
        <v>1100</v>
      </c>
      <c r="H60" s="14" t="s">
        <v>18</v>
      </c>
      <c r="I60" s="14">
        <v>1072</v>
      </c>
      <c r="J60" s="11" t="s">
        <v>207</v>
      </c>
      <c r="K60" s="14">
        <v>4066</v>
      </c>
      <c r="L60" s="25"/>
    </row>
    <row r="61" s="3" customFormat="1" ht="33" customHeight="1" spans="1:12">
      <c r="A61" s="10">
        <v>377514</v>
      </c>
      <c r="B61" s="11" t="s">
        <v>214</v>
      </c>
      <c r="C61" s="12" t="s">
        <v>215</v>
      </c>
      <c r="D61" s="12" t="s">
        <v>216</v>
      </c>
      <c r="E61" s="13">
        <v>2</v>
      </c>
      <c r="F61" s="12" t="s">
        <v>217</v>
      </c>
      <c r="G61" s="14">
        <f t="shared" si="1"/>
        <v>390</v>
      </c>
      <c r="H61" s="14" t="s">
        <v>18</v>
      </c>
      <c r="I61" s="14">
        <v>1072</v>
      </c>
      <c r="J61" s="11" t="s">
        <v>218</v>
      </c>
      <c r="K61" s="14">
        <v>4076</v>
      </c>
      <c r="L61" s="25"/>
    </row>
    <row r="62" s="3" customFormat="1" ht="33" customHeight="1" spans="1:12">
      <c r="A62" s="10">
        <v>377515</v>
      </c>
      <c r="B62" s="11" t="s">
        <v>219</v>
      </c>
      <c r="C62" s="12" t="s">
        <v>122</v>
      </c>
      <c r="D62" s="12" t="s">
        <v>123</v>
      </c>
      <c r="E62" s="13">
        <v>2</v>
      </c>
      <c r="F62" s="12" t="s">
        <v>220</v>
      </c>
      <c r="G62" s="14">
        <f t="shared" si="1"/>
        <v>1900</v>
      </c>
      <c r="H62" s="14" t="s">
        <v>18</v>
      </c>
      <c r="I62" s="14">
        <v>1072</v>
      </c>
      <c r="J62" s="11" t="s">
        <v>218</v>
      </c>
      <c r="K62" s="14">
        <v>4076</v>
      </c>
      <c r="L62" s="25"/>
    </row>
    <row r="63" s="3" customFormat="1" ht="33" customHeight="1" spans="1:12">
      <c r="A63" s="10">
        <v>377530</v>
      </c>
      <c r="B63" s="11" t="s">
        <v>221</v>
      </c>
      <c r="C63" s="12" t="s">
        <v>222</v>
      </c>
      <c r="D63" s="12" t="s">
        <v>223</v>
      </c>
      <c r="E63" s="13">
        <v>1</v>
      </c>
      <c r="F63" s="12" t="s">
        <v>147</v>
      </c>
      <c r="G63" s="14">
        <f t="shared" si="1"/>
        <v>281</v>
      </c>
      <c r="H63" s="14" t="s">
        <v>18</v>
      </c>
      <c r="I63" s="14">
        <v>1072</v>
      </c>
      <c r="J63" s="11" t="s">
        <v>175</v>
      </c>
      <c r="K63" s="14">
        <v>4132</v>
      </c>
      <c r="L63" s="25"/>
    </row>
    <row r="64" s="3" customFormat="1" ht="33" customHeight="1" spans="1:12">
      <c r="A64" s="10">
        <v>377575</v>
      </c>
      <c r="B64" s="11" t="s">
        <v>224</v>
      </c>
      <c r="C64" s="12" t="s">
        <v>225</v>
      </c>
      <c r="D64" s="12" t="s">
        <v>226</v>
      </c>
      <c r="E64" s="13">
        <v>1</v>
      </c>
      <c r="F64" s="12" t="s">
        <v>48</v>
      </c>
      <c r="G64" s="14">
        <f t="shared" si="1"/>
        <v>242</v>
      </c>
      <c r="H64" s="14" t="s">
        <v>18</v>
      </c>
      <c r="I64" s="14">
        <v>1072</v>
      </c>
      <c r="J64" s="11" t="s">
        <v>227</v>
      </c>
      <c r="K64" s="14">
        <v>4164</v>
      </c>
      <c r="L64" s="25"/>
    </row>
    <row r="65" s="3" customFormat="1" ht="33" customHeight="1" spans="1:12">
      <c r="A65" s="10">
        <v>377579</v>
      </c>
      <c r="B65" s="11" t="s">
        <v>228</v>
      </c>
      <c r="C65" s="12" t="s">
        <v>229</v>
      </c>
      <c r="D65" s="11" t="s">
        <v>230</v>
      </c>
      <c r="E65" s="13">
        <v>1</v>
      </c>
      <c r="F65" s="12" t="s">
        <v>231</v>
      </c>
      <c r="G65" s="14">
        <f t="shared" si="1"/>
        <v>4008</v>
      </c>
      <c r="H65" s="14" t="s">
        <v>18</v>
      </c>
      <c r="I65" s="14">
        <v>1072</v>
      </c>
      <c r="J65" s="11" t="s">
        <v>232</v>
      </c>
      <c r="K65" s="14">
        <v>4176</v>
      </c>
      <c r="L65" s="25"/>
    </row>
    <row r="66" s="3" customFormat="1" ht="33" customHeight="1" spans="1:12">
      <c r="A66" s="10">
        <v>377586</v>
      </c>
      <c r="B66" s="11" t="s">
        <v>233</v>
      </c>
      <c r="C66" s="12" t="s">
        <v>234</v>
      </c>
      <c r="D66" s="12" t="s">
        <v>235</v>
      </c>
      <c r="E66" s="13">
        <v>2</v>
      </c>
      <c r="F66" s="12" t="s">
        <v>236</v>
      </c>
      <c r="G66" s="14">
        <f t="shared" si="1"/>
        <v>726</v>
      </c>
      <c r="H66" s="14" t="s">
        <v>18</v>
      </c>
      <c r="I66" s="14">
        <v>1072</v>
      </c>
      <c r="J66" s="11" t="s">
        <v>237</v>
      </c>
      <c r="K66" s="14">
        <v>4081</v>
      </c>
      <c r="L66" s="25"/>
    </row>
    <row r="67" s="3" customFormat="1" ht="33" customHeight="1" spans="1:12">
      <c r="A67" s="15">
        <v>377628</v>
      </c>
      <c r="B67" s="16" t="s">
        <v>238</v>
      </c>
      <c r="C67" s="12" t="s">
        <v>239</v>
      </c>
      <c r="D67" s="11" t="s">
        <v>240</v>
      </c>
      <c r="E67" s="13">
        <v>2</v>
      </c>
      <c r="F67" s="12" t="s">
        <v>241</v>
      </c>
      <c r="G67" s="14">
        <f t="shared" si="1"/>
        <v>1740</v>
      </c>
      <c r="H67" s="14" t="s">
        <v>18</v>
      </c>
      <c r="I67" s="14">
        <v>1072</v>
      </c>
      <c r="J67" s="11" t="s">
        <v>193</v>
      </c>
      <c r="K67" s="14">
        <v>4009</v>
      </c>
      <c r="L67" s="25"/>
    </row>
    <row r="68" s="3" customFormat="1" ht="33" customHeight="1" spans="1:12">
      <c r="A68" s="17"/>
      <c r="B68" s="18"/>
      <c r="C68" s="12" t="s">
        <v>242</v>
      </c>
      <c r="D68" s="11" t="s">
        <v>243</v>
      </c>
      <c r="E68" s="13">
        <v>1</v>
      </c>
      <c r="F68" s="12" t="s">
        <v>244</v>
      </c>
      <c r="G68" s="14">
        <f t="shared" si="1"/>
        <v>330</v>
      </c>
      <c r="H68" s="14" t="s">
        <v>18</v>
      </c>
      <c r="I68" s="14">
        <v>1072</v>
      </c>
      <c r="J68" s="11" t="s">
        <v>193</v>
      </c>
      <c r="K68" s="14">
        <v>4009</v>
      </c>
      <c r="L68" s="25"/>
    </row>
    <row r="69" s="3" customFormat="1" ht="33" customHeight="1" spans="1:12">
      <c r="A69" s="15">
        <v>377659</v>
      </c>
      <c r="B69" s="16" t="s">
        <v>245</v>
      </c>
      <c r="C69" s="12" t="s">
        <v>184</v>
      </c>
      <c r="D69" s="11" t="s">
        <v>185</v>
      </c>
      <c r="E69" s="13">
        <v>1</v>
      </c>
      <c r="F69" s="12" t="s">
        <v>41</v>
      </c>
      <c r="G69" s="14">
        <f>E69*F69</f>
        <v>50</v>
      </c>
      <c r="H69" s="14" t="s">
        <v>18</v>
      </c>
      <c r="I69" s="14">
        <v>1072</v>
      </c>
      <c r="J69" s="11" t="s">
        <v>246</v>
      </c>
      <c r="K69" s="14">
        <v>4006</v>
      </c>
      <c r="L69" s="25"/>
    </row>
    <row r="70" s="3" customFormat="1" ht="33" customHeight="1" spans="1:12">
      <c r="A70" s="19"/>
      <c r="B70" s="20"/>
      <c r="C70" s="12" t="s">
        <v>247</v>
      </c>
      <c r="D70" s="11" t="s">
        <v>248</v>
      </c>
      <c r="E70" s="13">
        <v>2</v>
      </c>
      <c r="F70" s="12" t="s">
        <v>51</v>
      </c>
      <c r="G70" s="14">
        <f>E70*F70</f>
        <v>48</v>
      </c>
      <c r="H70" s="14" t="s">
        <v>18</v>
      </c>
      <c r="I70" s="14">
        <v>1072</v>
      </c>
      <c r="J70" s="11" t="s">
        <v>246</v>
      </c>
      <c r="K70" s="14">
        <v>4006</v>
      </c>
      <c r="L70" s="25"/>
    </row>
    <row r="71" s="3" customFormat="1" ht="33" customHeight="1" spans="1:12">
      <c r="A71" s="17"/>
      <c r="B71" s="18"/>
      <c r="C71" s="12" t="s">
        <v>249</v>
      </c>
      <c r="D71" s="11" t="s">
        <v>250</v>
      </c>
      <c r="E71" s="13">
        <v>1</v>
      </c>
      <c r="F71" s="12" t="s">
        <v>54</v>
      </c>
      <c r="G71" s="14">
        <f>E71*F71</f>
        <v>30</v>
      </c>
      <c r="H71" s="14" t="s">
        <v>18</v>
      </c>
      <c r="I71" s="14">
        <v>1072</v>
      </c>
      <c r="J71" s="11" t="s">
        <v>246</v>
      </c>
      <c r="K71" s="14">
        <v>4006</v>
      </c>
      <c r="L71" s="25"/>
    </row>
    <row r="72" s="3" customFormat="1" ht="33" customHeight="1" spans="1:12">
      <c r="A72" s="10">
        <v>377715</v>
      </c>
      <c r="B72" s="11" t="s">
        <v>251</v>
      </c>
      <c r="C72" s="12" t="s">
        <v>154</v>
      </c>
      <c r="D72" s="12" t="s">
        <v>155</v>
      </c>
      <c r="E72" s="13">
        <v>4</v>
      </c>
      <c r="F72" s="12" t="s">
        <v>252</v>
      </c>
      <c r="G72" s="14">
        <f>E72*F72</f>
        <v>2240</v>
      </c>
      <c r="H72" s="14" t="s">
        <v>18</v>
      </c>
      <c r="I72" s="14">
        <v>1072</v>
      </c>
      <c r="J72" s="11" t="s">
        <v>29</v>
      </c>
      <c r="K72" s="14">
        <v>4104</v>
      </c>
      <c r="L72" s="25"/>
    </row>
    <row r="73" s="3" customFormat="1" ht="33" customHeight="1" spans="1:12">
      <c r="A73" s="10">
        <v>377827</v>
      </c>
      <c r="B73" s="11" t="s">
        <v>253</v>
      </c>
      <c r="C73" s="12" t="s">
        <v>254</v>
      </c>
      <c r="D73" s="12" t="s">
        <v>255</v>
      </c>
      <c r="E73" s="13">
        <v>1</v>
      </c>
      <c r="F73" s="12" t="s">
        <v>256</v>
      </c>
      <c r="G73" s="14">
        <f>E73*F73</f>
        <v>1500</v>
      </c>
      <c r="H73" s="14" t="s">
        <v>18</v>
      </c>
      <c r="I73" s="14">
        <v>1072</v>
      </c>
      <c r="J73" s="11" t="s">
        <v>257</v>
      </c>
      <c r="K73" s="14">
        <v>4075</v>
      </c>
      <c r="L73" s="25"/>
    </row>
    <row r="74" s="3" customFormat="1" ht="33" customHeight="1" spans="1:12">
      <c r="A74" s="15">
        <v>378052</v>
      </c>
      <c r="B74" s="16" t="s">
        <v>258</v>
      </c>
      <c r="C74" s="12" t="s">
        <v>259</v>
      </c>
      <c r="D74" s="11" t="s">
        <v>260</v>
      </c>
      <c r="E74" s="13">
        <v>1</v>
      </c>
      <c r="F74" s="12" t="s">
        <v>261</v>
      </c>
      <c r="G74" s="14">
        <f>E74*F74</f>
        <v>385</v>
      </c>
      <c r="H74" s="14" t="s">
        <v>18</v>
      </c>
      <c r="I74" s="14">
        <v>1072</v>
      </c>
      <c r="J74" s="11" t="s">
        <v>262</v>
      </c>
      <c r="K74" s="14">
        <v>4017</v>
      </c>
      <c r="L74" s="25"/>
    </row>
    <row r="75" s="3" customFormat="1" ht="33" customHeight="1" spans="1:12">
      <c r="A75" s="19"/>
      <c r="B75" s="20"/>
      <c r="C75" s="12" t="s">
        <v>263</v>
      </c>
      <c r="D75" s="11" t="s">
        <v>264</v>
      </c>
      <c r="E75" s="13">
        <v>1</v>
      </c>
      <c r="F75" s="12" t="s">
        <v>265</v>
      </c>
      <c r="G75" s="14">
        <f>E75*F75</f>
        <v>671</v>
      </c>
      <c r="H75" s="14" t="s">
        <v>18</v>
      </c>
      <c r="I75" s="14">
        <v>1072</v>
      </c>
      <c r="J75" s="11" t="s">
        <v>262</v>
      </c>
      <c r="K75" s="14">
        <v>4017</v>
      </c>
      <c r="L75" s="25"/>
    </row>
    <row r="76" s="3" customFormat="1" ht="33" customHeight="1" spans="1:12">
      <c r="A76" s="17"/>
      <c r="B76" s="18"/>
      <c r="C76" s="12" t="s">
        <v>266</v>
      </c>
      <c r="D76" s="11" t="s">
        <v>267</v>
      </c>
      <c r="E76" s="13">
        <v>1</v>
      </c>
      <c r="F76" s="12" t="s">
        <v>268</v>
      </c>
      <c r="G76" s="14">
        <f>E76*F76</f>
        <v>192</v>
      </c>
      <c r="H76" s="14" t="s">
        <v>18</v>
      </c>
      <c r="I76" s="14">
        <v>1072</v>
      </c>
      <c r="J76" s="11" t="s">
        <v>262</v>
      </c>
      <c r="K76" s="14">
        <v>4017</v>
      </c>
      <c r="L76" s="25"/>
    </row>
    <row r="77" s="2" customFormat="1" ht="33" customHeight="1" spans="1:12">
      <c r="A77" s="26"/>
      <c r="B77" s="26"/>
      <c r="C77" s="27"/>
      <c r="D77" s="24" t="s">
        <v>269</v>
      </c>
      <c r="E77" s="28"/>
      <c r="F77" s="24"/>
      <c r="G77" s="29"/>
      <c r="H77" s="29"/>
      <c r="I77" s="29"/>
      <c r="J77" s="24"/>
      <c r="K77" s="14"/>
      <c r="L77" s="34"/>
    </row>
    <row r="78" s="2" customFormat="1" ht="51" customHeight="1" spans="1:12">
      <c r="A78" s="30"/>
      <c r="B78" s="30"/>
      <c r="C78" s="31" t="s">
        <v>270</v>
      </c>
      <c r="D78" s="8" t="s">
        <v>271</v>
      </c>
      <c r="E78" s="8"/>
      <c r="F78" s="8"/>
      <c r="G78" s="29"/>
      <c r="H78" s="8"/>
      <c r="I78" s="8"/>
      <c r="J78" s="8"/>
      <c r="K78" s="14"/>
      <c r="L78" s="34"/>
    </row>
    <row r="79" s="2" customFormat="1" ht="33" customHeight="1" spans="1:12">
      <c r="A79" s="8"/>
      <c r="B79" s="8"/>
      <c r="C79" s="8"/>
      <c r="D79" s="8" t="s">
        <v>272</v>
      </c>
      <c r="E79" s="8"/>
      <c r="F79" s="8"/>
      <c r="G79" s="29"/>
      <c r="H79" s="8"/>
      <c r="I79" s="8"/>
      <c r="J79" s="8"/>
      <c r="K79" s="14"/>
      <c r="L79" s="9"/>
    </row>
    <row r="80" s="2" customFormat="1" customHeight="1" spans="1:12">
      <c r="A80" s="32" t="s">
        <v>273</v>
      </c>
      <c r="B80" s="32"/>
      <c r="C80" s="32"/>
      <c r="D80" s="32"/>
      <c r="E80" s="32"/>
      <c r="F80" s="32"/>
      <c r="G80" s="29"/>
      <c r="H80" s="32"/>
      <c r="I80" s="32"/>
      <c r="J80" s="32"/>
      <c r="K80" s="14"/>
      <c r="L80" s="32"/>
    </row>
    <row r="83" customHeight="1" spans="1:1">
      <c r="A83" s="33" t="s">
        <v>274</v>
      </c>
    </row>
    <row r="84" customHeight="1" spans="1:1">
      <c r="A84" s="33"/>
    </row>
    <row r="85" customHeight="1" spans="1:1">
      <c r="A85" s="33"/>
    </row>
    <row r="86" customHeight="1" spans="1:1">
      <c r="A86" s="33"/>
    </row>
  </sheetData>
  <mergeCells count="31">
    <mergeCell ref="A1:L1"/>
    <mergeCell ref="A7:A8"/>
    <mergeCell ref="A9:A21"/>
    <mergeCell ref="A22:A23"/>
    <mergeCell ref="A24:A25"/>
    <mergeCell ref="A27:A28"/>
    <mergeCell ref="A29:A30"/>
    <mergeCell ref="A31:A35"/>
    <mergeCell ref="A37:A40"/>
    <mergeCell ref="A44:A46"/>
    <mergeCell ref="A52:A53"/>
    <mergeCell ref="A54:A57"/>
    <mergeCell ref="A58:A60"/>
    <mergeCell ref="A67:A68"/>
    <mergeCell ref="A69:A71"/>
    <mergeCell ref="A74:A76"/>
    <mergeCell ref="B7:B8"/>
    <mergeCell ref="B9:B21"/>
    <mergeCell ref="B22:B23"/>
    <mergeCell ref="B24:B25"/>
    <mergeCell ref="B27:B28"/>
    <mergeCell ref="B29:B30"/>
    <mergeCell ref="B31:B35"/>
    <mergeCell ref="B37:B40"/>
    <mergeCell ref="B44:B46"/>
    <mergeCell ref="B52:B53"/>
    <mergeCell ref="B54:B57"/>
    <mergeCell ref="B58:B60"/>
    <mergeCell ref="B67:B68"/>
    <mergeCell ref="B69:B71"/>
    <mergeCell ref="B74:B76"/>
  </mergeCells>
  <printOptions horizontalCentered="1"/>
  <pageMargins left="0.751388888888889" right="0.751388888888889" top="1" bottom="1" header="0.511805555555556" footer="0.511805555555556"/>
  <pageSetup paperSize="9" scale="1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售后收费出库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2025-10-30T05:29:11Z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E1C3C54A23924255AD37E92D938D0F0D_13</vt:lpwstr>
  </property>
</Properties>
</file>