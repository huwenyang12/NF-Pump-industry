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456"/>
  </bookViews>
  <sheets>
    <sheet name="售后三包出库 " sheetId="85" r:id="rId1"/>
  </sheets>
  <definedNames>
    <definedName name="_xlnm._FilterDatabase" localSheetId="0" hidden="1">'售后三包出库 '!$A$3:$N$64</definedName>
    <definedName name="_xlnm.Print_Area" localSheetId="0">'售后三包出库 '!$A$1:$N$68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<sst xmlns="http://schemas.openxmlformats.org/spreadsheetml/2006/main" count="447" uniqueCount="168">
  <si>
    <t>南方泵业股份有限公司售后服务卡出库通知单</t>
  </si>
  <si>
    <t>发件人：**  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</si>
  <si>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</si>
  <si>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</si>
  <si>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</si>
  <si>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</si>
  <si>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</si>
  <si>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 价</t>
  </si>
  <si>
    <t>金 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</si>
  <si>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</si>
  <si>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</si>
  <si>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</si>
  <si>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</si>
  <si>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</si>
  <si>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办事处库位对应编码</t>
  </si>
  <si>
    <t>备注费用承担方（显示备注抬头信息：文本）</t>
  </si>
  <si>
    <t>单泵三包期内客户</t>
  </si>
  <si>
    <t>1400289299</t>
  </si>
  <si>
    <t>变频风机|GBF-200|易尔易|大速</t>
  </si>
  <si>
    <t>绵阳办</t>
  </si>
  <si>
    <t>ZTNN</t>
  </si>
  <si>
    <t>保内三包</t>
  </si>
  <si>
    <t>1500004288</t>
  </si>
  <si>
    <t>深沟球轴承|6309ZZ|NSK|C3|ENS|高温160℃(TT)</t>
  </si>
  <si>
    <t>深圳二部</t>
  </si>
  <si>
    <t>1500004365</t>
  </si>
  <si>
    <t>角接触球轴承|7309B</t>
  </si>
  <si>
    <t>1400004838</t>
  </si>
  <si>
    <t>铁风罩|CDL-YE3-280|三相</t>
  </si>
  <si>
    <t>合肥办</t>
  </si>
  <si>
    <t>1400058500</t>
  </si>
  <si>
    <t>叶轮|CDM1-01-00|304</t>
  </si>
  <si>
    <t>宣城办</t>
  </si>
  <si>
    <t>1400003845</t>
  </si>
  <si>
    <t>泵体|ZS80-65-200/30.0-04-00|304</t>
  </si>
  <si>
    <t>佛山二部</t>
  </si>
  <si>
    <t>1400283316</t>
  </si>
  <si>
    <t>泵盖|NISO125-100-250-01|HT200|蓝1</t>
  </si>
  <si>
    <t>兰州办</t>
  </si>
  <si>
    <t>1500004806</t>
  </si>
  <si>
    <t>O形圈|280X7|丁腈橡胶</t>
  </si>
  <si>
    <t>1400092502</t>
  </si>
  <si>
    <t>排气阀|高温泵CDMG3T|304</t>
  </si>
  <si>
    <t>南宁办</t>
  </si>
  <si>
    <t>1400001861</t>
  </si>
  <si>
    <t>钢丝弹簧|CDH2-26-06|304</t>
  </si>
  <si>
    <t>重庆三部</t>
  </si>
  <si>
    <t>1400124368</t>
  </si>
  <si>
    <t>高压泵内芯|CMH5-33|304</t>
  </si>
  <si>
    <t>1500090681</t>
  </si>
  <si>
    <t>304机械密封CDM-22/WB1F14</t>
  </si>
  <si>
    <t>深圳一部</t>
  </si>
  <si>
    <t>1400290437</t>
  </si>
  <si>
    <t>铁风罩|CDM-YE3-90|三相|卧龙</t>
  </si>
  <si>
    <t>1500029996</t>
  </si>
  <si>
    <t>304机械密封CHM-19/S1B1F4</t>
  </si>
  <si>
    <t>成都一部</t>
  </si>
  <si>
    <t>1500159982</t>
  </si>
  <si>
    <t>316机械密封|NZXF-18|MSP6|爱得万</t>
  </si>
  <si>
    <t>清远办</t>
  </si>
  <si>
    <t>1500004283</t>
  </si>
  <si>
    <t>深沟球轴承|6308ZZ|NSK|C3|ENS|高温160℃(TT)</t>
  </si>
  <si>
    <t>贵阳办</t>
  </si>
  <si>
    <t>1500033389</t>
  </si>
  <si>
    <t>深沟球轴承|6308ZZ|NSK|C3|ENS|高温160℃</t>
  </si>
  <si>
    <t>1400005011</t>
  </si>
  <si>
    <t>变频风机+风罩|G-112</t>
  </si>
  <si>
    <t>西安三部</t>
  </si>
  <si>
    <t>1500119353</t>
  </si>
  <si>
    <t>机械密封|WQ-19|碳化硅/碳化硅+石墨/碳化硅|P</t>
  </si>
  <si>
    <t>南阳办</t>
  </si>
  <si>
    <t>1500167498</t>
  </si>
  <si>
    <t>304机械密封ZS-24/S2WF54</t>
  </si>
  <si>
    <t>乌鲁木齐办</t>
  </si>
  <si>
    <t>1400034100</t>
  </si>
  <si>
    <t>泵体|MS250/2.2-01-00|304</t>
  </si>
  <si>
    <t>芜湖办</t>
  </si>
  <si>
    <t>1400005002</t>
  </si>
  <si>
    <t>变频风机+风罩|G-71</t>
  </si>
  <si>
    <t>惠州办</t>
  </si>
  <si>
    <t>1400059240</t>
  </si>
  <si>
    <t>支撑导叶A|CDM10-04-00A|LS30|304</t>
  </si>
  <si>
    <t>成都三部</t>
  </si>
  <si>
    <t>1500003472</t>
  </si>
  <si>
    <t>304机械密封CDLA-16/WB1F14</t>
  </si>
  <si>
    <t>1500004253</t>
  </si>
  <si>
    <t>深沟球轴承|6206ZZ|NSK|C3|ENS|高温160℃(TT)</t>
  </si>
  <si>
    <t>1500003242</t>
  </si>
  <si>
    <t>304机械密封ZS-24/BS1P4</t>
  </si>
  <si>
    <t>费用由成都一部承担</t>
  </si>
  <si>
    <t>1500003478</t>
  </si>
  <si>
    <t>304机械密封CDLA-16/WS2E4</t>
  </si>
  <si>
    <t>厦门办</t>
  </si>
  <si>
    <t>1500003730</t>
  </si>
  <si>
    <t>304机械密封NISO-43/BS1E4</t>
  </si>
  <si>
    <t>安阳办</t>
  </si>
  <si>
    <t>1400005012</t>
  </si>
  <si>
    <t>变频风机+风罩|G-100</t>
  </si>
  <si>
    <t>宜宾办</t>
  </si>
  <si>
    <t>费用由成都二部承担</t>
  </si>
  <si>
    <t>1400013435</t>
  </si>
  <si>
    <t>密封座|CHL8-02-00|304</t>
  </si>
  <si>
    <t>太原办</t>
  </si>
  <si>
    <t>1500003167</t>
  </si>
  <si>
    <t>304机械密封CHL-20/B1S1F4</t>
  </si>
  <si>
    <t>1400006901</t>
  </si>
  <si>
    <t>轴套|CDL8A-06|LS30|Ф22x17.4x14</t>
  </si>
  <si>
    <t>费用由绵阳办承担</t>
  </si>
  <si>
    <t>1400006909</t>
  </si>
  <si>
    <t>调节桩|CDL32-00-09|大金氟橡胶F1(常规用)</t>
  </si>
  <si>
    <t>1400059236</t>
  </si>
  <si>
    <t>支撑导叶A|CDM15-04-00A|LS30|304</t>
  </si>
  <si>
    <t>1500116228</t>
  </si>
  <si>
    <t>深沟球轴承|6314ZZ|NSK|C3|ENS|高温160℃</t>
  </si>
  <si>
    <t>1500010464</t>
  </si>
  <si>
    <t>304机械密封TD-28/BS1E4</t>
  </si>
  <si>
    <t>衡阳办</t>
  </si>
  <si>
    <t>费用由衡阳办承担</t>
  </si>
  <si>
    <t>1400006299</t>
  </si>
  <si>
    <t>支撑导叶|CDL8-03-00A|LS30|热水|304</t>
  </si>
  <si>
    <t>费用由常州办承担</t>
  </si>
  <si>
    <t>1400007295</t>
  </si>
  <si>
    <t>支撑长隔套|CDL8-00-06|304|21.5x17.5x10.12</t>
  </si>
  <si>
    <t>1400008332</t>
  </si>
  <si>
    <t>叶轮|CDL8A-05-00A|304</t>
  </si>
  <si>
    <t>1400009515</t>
  </si>
  <si>
    <t>导叶|CDL8-05-00|304</t>
  </si>
  <si>
    <t>1400121686</t>
  </si>
  <si>
    <t>接线盖|CDM-YE3-112</t>
  </si>
  <si>
    <t>珠海办</t>
  </si>
  <si>
    <t>1500003514</t>
  </si>
  <si>
    <t>304机械密封CDLA-22/WB1F14</t>
  </si>
  <si>
    <t>临汾办</t>
  </si>
  <si>
    <t>费用由四平办承担</t>
  </si>
  <si>
    <t>1500036332</t>
  </si>
  <si>
    <t>304机械密封NISO-53/S2S1E4</t>
  </si>
  <si>
    <t>银川办</t>
  </si>
  <si>
    <t>1500003197</t>
  </si>
  <si>
    <t>304机械密封CHL-16/B1S1F4</t>
  </si>
  <si>
    <t>佛山一部</t>
  </si>
  <si>
    <t>1500003244</t>
  </si>
  <si>
    <t>304机械密封ZS-24/BS1E4/S1BE4</t>
  </si>
  <si>
    <t>费用由奉贤办承担</t>
  </si>
  <si>
    <t>1400059260</t>
  </si>
  <si>
    <t>放气组件|CDM-05|丁腈橡胶|304</t>
  </si>
  <si>
    <t>广州一部</t>
  </si>
  <si>
    <t>1400117475</t>
  </si>
  <si>
    <t>电缆组|松座|YZW-4Cx1.0SQx9M|YD|中文</t>
  </si>
  <si>
    <t>赣州办</t>
  </si>
  <si>
    <t>费用由赣州办承担</t>
  </si>
  <si>
    <t>1400005000</t>
  </si>
  <si>
    <t>变频风机+风罩|G-90</t>
  </si>
  <si>
    <t>1400005004</t>
  </si>
  <si>
    <t>变频风机|G-280</t>
  </si>
  <si>
    <t>重庆一部</t>
  </si>
  <si>
    <t>1400111718</t>
  </si>
  <si>
    <t>铁风罩|TD-YE3-112|远大空调</t>
  </si>
  <si>
    <t>长沙一部</t>
  </si>
  <si>
    <t>1500010312</t>
  </si>
  <si>
    <t>铆钉|SUS304|Φ2.6xΦ5</t>
  </si>
  <si>
    <t>长沙二部</t>
  </si>
  <si>
    <t>1400288338</t>
  </si>
  <si>
    <t>接线盒整套|TD-YE3-200L-4|远大</t>
  </si>
  <si>
    <t>远大年结</t>
  </si>
  <si>
    <t>用户状态（签收）</t>
  </si>
  <si>
    <t>备注1：</t>
  </si>
  <si>
    <t>备注2：</t>
  </si>
  <si>
    <t>发件人：**  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</si>
</sst>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8"/>
  <sheetViews>
    <sheetView tabSelected="1" zoomScale="85" zoomScaleNormal="85" zoomScaleSheetLayoutView="70" workbookViewId="0">
      <selection activeCell="P3" sqref="P3"/>
    </sheetView>
  </sheetViews>
  <sheetFormatPr defaultColWidth="9" defaultRowHeight="30" customHeight="1"/>
  <cols>
    <col min="1" max="1" width="14.6333333333333" style="3" customWidth="1"/>
    <col min="2" max="2" width="21.025" style="3" customWidth="1"/>
    <col min="3" max="3" width="13.675" style="4" customWidth="1"/>
    <col min="4" max="4" width="14.1" style="3" customWidth="1"/>
    <col min="5" max="6" width="8.23333333333333" style="4" customWidth="1"/>
    <col min="7" max="7" width="8.23333333333333" style="5" customWidth="1"/>
    <col min="8" max="13" width="13.6666666666667" style="4" customWidth="1"/>
    <col min="14" max="14" width="27.0583333333333" style="4" customWidth="1"/>
    <col min="15" max="16384" width="9" style="4"/>
  </cols>
  <sheetData>
    <row r="1" ht="49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17" t="s">
        <v>10</v>
      </c>
      <c r="J3" s="7" t="s">
        <v>11</v>
      </c>
      <c r="K3" s="7" t="s">
        <v>12</v>
      </c>
      <c r="L3" s="7" t="s">
        <v>13</v>
      </c>
      <c r="M3" s="17" t="s">
        <v>14</v>
      </c>
      <c r="N3" s="7" t="s">
        <v>15</v>
      </c>
    </row>
    <row r="4" s="1" customFormat="1" ht="33" customHeight="1" spans="1:14">
      <c r="A4" s="9">
        <v>372227</v>
      </c>
      <c r="B4" s="7" t="s">
        <v>16</v>
      </c>
      <c r="C4" s="10" t="s">
        <v>17</v>
      </c>
      <c r="D4" s="11" t="s">
        <v>18</v>
      </c>
      <c r="E4" s="12">
        <v>1</v>
      </c>
      <c r="F4" s="8">
        <v>0</v>
      </c>
      <c r="G4" s="8">
        <f>E4*F4</f>
        <v>0</v>
      </c>
      <c r="H4" s="8" t="s">
        <v>19</v>
      </c>
      <c r="I4" s="8">
        <v>1041</v>
      </c>
      <c r="J4" s="8" t="s">
        <v>20</v>
      </c>
      <c r="K4" s="8">
        <v>1072</v>
      </c>
      <c r="L4" s="8" t="s">
        <v>19</v>
      </c>
      <c r="M4" s="8">
        <v>4040</v>
      </c>
      <c r="N4" s="11" t="s">
        <v>21</v>
      </c>
    </row>
    <row r="5" s="1" customFormat="1" ht="33" customHeight="1" spans="1:14">
      <c r="A5" s="13">
        <v>373322</v>
      </c>
      <c r="B5" s="7" t="s">
        <v>16</v>
      </c>
      <c r="C5" s="10" t="s">
        <v>22</v>
      </c>
      <c r="D5" s="11" t="s">
        <v>23</v>
      </c>
      <c r="E5" s="12">
        <v>1</v>
      </c>
      <c r="F5" s="8">
        <v>0</v>
      </c>
      <c r="G5" s="8">
        <f>E5*F5</f>
        <v>0</v>
      </c>
      <c r="H5" s="14" t="s">
        <v>24</v>
      </c>
      <c r="I5" s="8">
        <v>1127</v>
      </c>
      <c r="J5" s="8" t="s">
        <v>20</v>
      </c>
      <c r="K5" s="8">
        <v>1072</v>
      </c>
      <c r="L5" s="8" t="s">
        <v>24</v>
      </c>
      <c r="M5" s="8">
        <v>4122</v>
      </c>
      <c r="N5" s="11" t="s">
        <v>21</v>
      </c>
    </row>
    <row r="6" s="1" customFormat="1" ht="33" customHeight="1" spans="1:14">
      <c r="A6" s="15"/>
      <c r="B6" s="7" t="s">
        <v>16</v>
      </c>
      <c r="C6" s="10" t="s">
        <v>25</v>
      </c>
      <c r="D6" s="11" t="s">
        <v>26</v>
      </c>
      <c r="E6" s="12">
        <v>1</v>
      </c>
      <c r="F6" s="8">
        <v>0</v>
      </c>
      <c r="G6" s="8">
        <f>E6*F6</f>
        <v>0</v>
      </c>
      <c r="H6" s="14" t="s">
        <v>24</v>
      </c>
      <c r="I6" s="8">
        <v>1127</v>
      </c>
      <c r="J6" s="8" t="s">
        <v>20</v>
      </c>
      <c r="K6" s="8">
        <v>1072</v>
      </c>
      <c r="L6" s="8" t="s">
        <v>24</v>
      </c>
      <c r="M6" s="8">
        <v>4122</v>
      </c>
      <c r="N6" s="11" t="s">
        <v>21</v>
      </c>
    </row>
    <row r="7" s="1" customFormat="1" ht="33" customHeight="1" spans="1:14">
      <c r="A7" s="9">
        <v>374796</v>
      </c>
      <c r="B7" s="7" t="s">
        <v>16</v>
      </c>
      <c r="C7" s="10" t="s">
        <v>27</v>
      </c>
      <c r="D7" s="11" t="s">
        <v>28</v>
      </c>
      <c r="E7" s="12">
        <v>1</v>
      </c>
      <c r="F7" s="8">
        <v>0</v>
      </c>
      <c r="G7" s="8">
        <f>E7*F7</f>
        <v>0</v>
      </c>
      <c r="H7" s="8" t="s">
        <v>29</v>
      </c>
      <c r="I7" s="8">
        <v>1031</v>
      </c>
      <c r="J7" s="8" t="s">
        <v>20</v>
      </c>
      <c r="K7" s="8">
        <v>1072</v>
      </c>
      <c r="L7" s="8" t="s">
        <v>29</v>
      </c>
      <c r="M7" s="8">
        <v>4030</v>
      </c>
      <c r="N7" s="11" t="s">
        <v>21</v>
      </c>
    </row>
    <row r="8" s="1" customFormat="1" ht="33" customHeight="1" spans="1:14">
      <c r="A8" s="9">
        <v>374881</v>
      </c>
      <c r="B8" s="7" t="s">
        <v>16</v>
      </c>
      <c r="C8" s="10" t="s">
        <v>30</v>
      </c>
      <c r="D8" s="11" t="s">
        <v>31</v>
      </c>
      <c r="E8" s="12">
        <v>30</v>
      </c>
      <c r="F8" s="8">
        <v>0</v>
      </c>
      <c r="G8" s="8">
        <f>E8*F8</f>
        <v>0</v>
      </c>
      <c r="H8" s="8" t="s">
        <v>32</v>
      </c>
      <c r="I8" s="8">
        <v>1133</v>
      </c>
      <c r="J8" s="8" t="s">
        <v>20</v>
      </c>
      <c r="K8" s="8">
        <v>1072</v>
      </c>
      <c r="L8" s="8" t="s">
        <v>32</v>
      </c>
      <c r="M8" s="8">
        <v>4128</v>
      </c>
      <c r="N8" s="11" t="s">
        <v>21</v>
      </c>
    </row>
    <row r="9" s="1" customFormat="1" ht="33" customHeight="1" spans="1:14">
      <c r="A9" s="9">
        <v>375215</v>
      </c>
      <c r="B9" s="7" t="s">
        <v>16</v>
      </c>
      <c r="C9" s="10" t="s">
        <v>33</v>
      </c>
      <c r="D9" s="11" t="s">
        <v>34</v>
      </c>
      <c r="E9" s="12">
        <v>1</v>
      </c>
      <c r="F9" s="8">
        <v>0</v>
      </c>
      <c r="G9" s="8">
        <f>E9*F9</f>
        <v>0</v>
      </c>
      <c r="H9" s="8" t="s">
        <v>35</v>
      </c>
      <c r="I9" s="8">
        <v>1152</v>
      </c>
      <c r="J9" s="8" t="s">
        <v>20</v>
      </c>
      <c r="K9" s="8">
        <v>1072</v>
      </c>
      <c r="L9" s="8" t="s">
        <v>35</v>
      </c>
      <c r="M9" s="8">
        <v>4147</v>
      </c>
      <c r="N9" s="11" t="s">
        <v>21</v>
      </c>
    </row>
    <row r="10" s="1" customFormat="1" ht="33" customHeight="1" spans="1:14">
      <c r="A10" s="13">
        <v>375300</v>
      </c>
      <c r="B10" s="7" t="s">
        <v>16</v>
      </c>
      <c r="C10" s="10" t="s">
        <v>36</v>
      </c>
      <c r="D10" s="11" t="s">
        <v>37</v>
      </c>
      <c r="E10" s="12">
        <v>1</v>
      </c>
      <c r="F10" s="8">
        <v>0</v>
      </c>
      <c r="G10" s="8">
        <f>E10*F10</f>
        <v>0</v>
      </c>
      <c r="H10" s="14" t="s">
        <v>38</v>
      </c>
      <c r="I10" s="8">
        <v>1030</v>
      </c>
      <c r="J10" s="8" t="s">
        <v>20</v>
      </c>
      <c r="K10" s="8">
        <v>1072</v>
      </c>
      <c r="L10" s="8" t="s">
        <v>38</v>
      </c>
      <c r="M10" s="8">
        <v>4029</v>
      </c>
      <c r="N10" s="11" t="s">
        <v>21</v>
      </c>
    </row>
    <row r="11" s="1" customFormat="1" ht="33" customHeight="1" spans="1:14">
      <c r="A11" s="15"/>
      <c r="B11" s="7" t="s">
        <v>16</v>
      </c>
      <c r="C11" s="10" t="s">
        <v>39</v>
      </c>
      <c r="D11" s="11" t="s">
        <v>40</v>
      </c>
      <c r="E11" s="12">
        <v>1</v>
      </c>
      <c r="F11" s="8">
        <v>0</v>
      </c>
      <c r="G11" s="8">
        <f>E11*F11</f>
        <v>0</v>
      </c>
      <c r="H11" s="14" t="s">
        <v>38</v>
      </c>
      <c r="I11" s="8">
        <v>1030</v>
      </c>
      <c r="J11" s="8" t="s">
        <v>20</v>
      </c>
      <c r="K11" s="8">
        <v>1072</v>
      </c>
      <c r="L11" s="8" t="s">
        <v>38</v>
      </c>
      <c r="M11" s="8">
        <v>4029</v>
      </c>
      <c r="N11" s="11" t="s">
        <v>21</v>
      </c>
    </row>
    <row r="12" s="1" customFormat="1" ht="33" customHeight="1" spans="1:14">
      <c r="A12" s="9">
        <v>375350</v>
      </c>
      <c r="B12" s="7" t="s">
        <v>16</v>
      </c>
      <c r="C12" s="10" t="s">
        <v>41</v>
      </c>
      <c r="D12" s="11" t="s">
        <v>42</v>
      </c>
      <c r="E12" s="12">
        <v>1</v>
      </c>
      <c r="F12" s="8">
        <v>0</v>
      </c>
      <c r="G12" s="8">
        <f>E12*F12</f>
        <v>0</v>
      </c>
      <c r="H12" s="8" t="s">
        <v>43</v>
      </c>
      <c r="I12" s="8">
        <v>1059</v>
      </c>
      <c r="J12" s="8" t="s">
        <v>20</v>
      </c>
      <c r="K12" s="8">
        <v>1072</v>
      </c>
      <c r="L12" s="8" t="s">
        <v>43</v>
      </c>
      <c r="M12" s="8">
        <v>4058</v>
      </c>
      <c r="N12" s="11" t="s">
        <v>21</v>
      </c>
    </row>
    <row r="13" s="1" customFormat="1" ht="33" customHeight="1" spans="1:14">
      <c r="A13" s="13">
        <v>375437</v>
      </c>
      <c r="B13" s="7" t="s">
        <v>16</v>
      </c>
      <c r="C13" s="10" t="s">
        <v>44</v>
      </c>
      <c r="D13" s="11" t="s">
        <v>45</v>
      </c>
      <c r="E13" s="12">
        <v>1</v>
      </c>
      <c r="F13" s="8">
        <v>0</v>
      </c>
      <c r="G13" s="8">
        <f>E13*F13</f>
        <v>0</v>
      </c>
      <c r="H13" s="14" t="s">
        <v>46</v>
      </c>
      <c r="I13" s="8">
        <v>1164</v>
      </c>
      <c r="J13" s="8" t="s">
        <v>20</v>
      </c>
      <c r="K13" s="8">
        <v>1072</v>
      </c>
      <c r="L13" s="8" t="s">
        <v>46</v>
      </c>
      <c r="M13" s="8">
        <v>4159</v>
      </c>
      <c r="N13" s="11" t="s">
        <v>21</v>
      </c>
    </row>
    <row r="14" s="1" customFormat="1" ht="33" customHeight="1" spans="1:14">
      <c r="A14" s="15"/>
      <c r="B14" s="7" t="s">
        <v>16</v>
      </c>
      <c r="C14" s="10" t="s">
        <v>47</v>
      </c>
      <c r="D14" s="11" t="s">
        <v>48</v>
      </c>
      <c r="E14" s="12">
        <v>1</v>
      </c>
      <c r="F14" s="8">
        <v>0</v>
      </c>
      <c r="G14" s="8">
        <f>E14*F14</f>
        <v>0</v>
      </c>
      <c r="H14" s="14" t="s">
        <v>46</v>
      </c>
      <c r="I14" s="8">
        <v>1164</v>
      </c>
      <c r="J14" s="8" t="s">
        <v>20</v>
      </c>
      <c r="K14" s="8">
        <v>1072</v>
      </c>
      <c r="L14" s="8" t="s">
        <v>46</v>
      </c>
      <c r="M14" s="8">
        <v>4159</v>
      </c>
      <c r="N14" s="11" t="s">
        <v>21</v>
      </c>
    </row>
    <row r="15" s="1" customFormat="1" ht="33" customHeight="1" spans="1:14">
      <c r="A15" s="9">
        <v>375527</v>
      </c>
      <c r="B15" s="7" t="s">
        <v>16</v>
      </c>
      <c r="C15" s="10" t="s">
        <v>49</v>
      </c>
      <c r="D15" s="11" t="s">
        <v>50</v>
      </c>
      <c r="E15" s="12">
        <v>1</v>
      </c>
      <c r="F15" s="8">
        <v>0</v>
      </c>
      <c r="G15" s="8">
        <f>E15*F15</f>
        <v>0</v>
      </c>
      <c r="H15" s="14" t="s">
        <v>51</v>
      </c>
      <c r="I15" s="8">
        <v>1058</v>
      </c>
      <c r="J15" s="8" t="s">
        <v>20</v>
      </c>
      <c r="K15" s="8">
        <v>1072</v>
      </c>
      <c r="L15" s="8" t="s">
        <v>51</v>
      </c>
      <c r="M15" s="8">
        <v>4057</v>
      </c>
      <c r="N15" s="11" t="s">
        <v>21</v>
      </c>
    </row>
    <row r="16" s="1" customFormat="1" ht="33" customHeight="1" spans="1:14">
      <c r="A16" s="9">
        <v>376071</v>
      </c>
      <c r="B16" s="7" t="s">
        <v>16</v>
      </c>
      <c r="C16" s="10" t="s">
        <v>52</v>
      </c>
      <c r="D16" s="11" t="s">
        <v>53</v>
      </c>
      <c r="E16" s="12">
        <v>1</v>
      </c>
      <c r="F16" s="8">
        <v>0</v>
      </c>
      <c r="G16" s="8">
        <f>E16*F16</f>
        <v>0</v>
      </c>
      <c r="H16" s="14" t="s">
        <v>51</v>
      </c>
      <c r="I16" s="8">
        <v>1058</v>
      </c>
      <c r="J16" s="8" t="s">
        <v>20</v>
      </c>
      <c r="K16" s="8">
        <v>1072</v>
      </c>
      <c r="L16" s="8" t="s">
        <v>51</v>
      </c>
      <c r="M16" s="8">
        <v>4057</v>
      </c>
      <c r="N16" s="11" t="s">
        <v>21</v>
      </c>
    </row>
    <row r="17" s="1" customFormat="1" ht="33" customHeight="1" spans="1:14">
      <c r="A17" s="9">
        <v>376285</v>
      </c>
      <c r="B17" s="7" t="s">
        <v>16</v>
      </c>
      <c r="C17" s="10" t="s">
        <v>54</v>
      </c>
      <c r="D17" s="11" t="s">
        <v>55</v>
      </c>
      <c r="E17" s="12">
        <v>1</v>
      </c>
      <c r="F17" s="8">
        <v>0</v>
      </c>
      <c r="G17" s="8">
        <f t="shared" ref="G17:G64" si="0">E17*F17</f>
        <v>0</v>
      </c>
      <c r="H17" s="8" t="s">
        <v>56</v>
      </c>
      <c r="I17" s="8">
        <v>1040</v>
      </c>
      <c r="J17" s="8" t="s">
        <v>20</v>
      </c>
      <c r="K17" s="8">
        <v>1072</v>
      </c>
      <c r="L17" s="8" t="s">
        <v>56</v>
      </c>
      <c r="M17" s="8">
        <v>4039</v>
      </c>
      <c r="N17" s="11" t="s">
        <v>21</v>
      </c>
    </row>
    <row r="18" s="1" customFormat="1" ht="33" customHeight="1" spans="1:14">
      <c r="A18" s="9">
        <v>376343</v>
      </c>
      <c r="B18" s="7" t="s">
        <v>16</v>
      </c>
      <c r="C18" s="10" t="s">
        <v>57</v>
      </c>
      <c r="D18" s="11" t="s">
        <v>58</v>
      </c>
      <c r="E18" s="12">
        <v>1</v>
      </c>
      <c r="F18" s="8">
        <v>0</v>
      </c>
      <c r="G18" s="8">
        <f t="shared" si="0"/>
        <v>0</v>
      </c>
      <c r="H18" s="8" t="s">
        <v>59</v>
      </c>
      <c r="I18" s="8">
        <v>1153</v>
      </c>
      <c r="J18" s="8" t="s">
        <v>20</v>
      </c>
      <c r="K18" s="8">
        <v>1072</v>
      </c>
      <c r="L18" s="8" t="s">
        <v>59</v>
      </c>
      <c r="M18" s="8">
        <v>4148</v>
      </c>
      <c r="N18" s="11" t="s">
        <v>21</v>
      </c>
    </row>
    <row r="19" s="1" customFormat="1" ht="33" customHeight="1" spans="1:14">
      <c r="A19" s="13">
        <v>376524</v>
      </c>
      <c r="B19" s="7" t="s">
        <v>16</v>
      </c>
      <c r="C19" s="10" t="s">
        <v>60</v>
      </c>
      <c r="D19" s="11" t="s">
        <v>61</v>
      </c>
      <c r="E19" s="12">
        <v>3</v>
      </c>
      <c r="F19" s="8">
        <v>0</v>
      </c>
      <c r="G19" s="8">
        <f t="shared" si="0"/>
        <v>0</v>
      </c>
      <c r="H19" s="14" t="s">
        <v>62</v>
      </c>
      <c r="I19" s="8">
        <v>1047</v>
      </c>
      <c r="J19" s="8" t="s">
        <v>20</v>
      </c>
      <c r="K19" s="8">
        <v>1072</v>
      </c>
      <c r="L19" s="8" t="s">
        <v>62</v>
      </c>
      <c r="M19" s="8">
        <v>4046</v>
      </c>
      <c r="N19" s="11" t="s">
        <v>21</v>
      </c>
    </row>
    <row r="20" s="1" customFormat="1" ht="33" customHeight="1" spans="1:14">
      <c r="A20" s="15"/>
      <c r="B20" s="7" t="s">
        <v>16</v>
      </c>
      <c r="C20" s="10" t="s">
        <v>63</v>
      </c>
      <c r="D20" s="11" t="s">
        <v>64</v>
      </c>
      <c r="E20" s="12">
        <v>1</v>
      </c>
      <c r="F20" s="8">
        <v>0</v>
      </c>
      <c r="G20" s="8">
        <f t="shared" si="0"/>
        <v>0</v>
      </c>
      <c r="H20" s="14" t="s">
        <v>62</v>
      </c>
      <c r="I20" s="8">
        <v>1047</v>
      </c>
      <c r="J20" s="8" t="s">
        <v>20</v>
      </c>
      <c r="K20" s="8">
        <v>1072</v>
      </c>
      <c r="L20" s="8" t="s">
        <v>62</v>
      </c>
      <c r="M20" s="8">
        <v>4046</v>
      </c>
      <c r="N20" s="11" t="s">
        <v>21</v>
      </c>
    </row>
    <row r="21" s="1" customFormat="1" ht="33" customHeight="1" spans="1:14">
      <c r="A21" s="9">
        <v>376711</v>
      </c>
      <c r="B21" s="7" t="s">
        <v>16</v>
      </c>
      <c r="C21" s="10" t="s">
        <v>65</v>
      </c>
      <c r="D21" s="11" t="s">
        <v>66</v>
      </c>
      <c r="E21" s="12">
        <v>1</v>
      </c>
      <c r="F21" s="8">
        <v>0</v>
      </c>
      <c r="G21" s="8">
        <f t="shared" si="0"/>
        <v>0</v>
      </c>
      <c r="H21" s="8" t="s">
        <v>67</v>
      </c>
      <c r="I21" s="8">
        <v>1187</v>
      </c>
      <c r="J21" s="8" t="s">
        <v>20</v>
      </c>
      <c r="K21" s="8">
        <v>1072</v>
      </c>
      <c r="L21" s="8" t="s">
        <v>67</v>
      </c>
      <c r="M21" s="8">
        <v>4182</v>
      </c>
      <c r="N21" s="11" t="s">
        <v>21</v>
      </c>
    </row>
    <row r="22" s="1" customFormat="1" ht="33" customHeight="1" spans="1:14">
      <c r="A22" s="9">
        <v>376712</v>
      </c>
      <c r="B22" s="7" t="s">
        <v>16</v>
      </c>
      <c r="C22" s="10" t="s">
        <v>68</v>
      </c>
      <c r="D22" s="11" t="s">
        <v>69</v>
      </c>
      <c r="E22" s="12">
        <v>1</v>
      </c>
      <c r="F22" s="8">
        <v>0</v>
      </c>
      <c r="G22" s="8">
        <f t="shared" si="0"/>
        <v>0</v>
      </c>
      <c r="H22" s="8" t="s">
        <v>70</v>
      </c>
      <c r="I22" s="8">
        <v>1035</v>
      </c>
      <c r="J22" s="8" t="s">
        <v>20</v>
      </c>
      <c r="K22" s="8">
        <v>1072</v>
      </c>
      <c r="L22" s="8" t="s">
        <v>70</v>
      </c>
      <c r="M22" s="8">
        <v>4034</v>
      </c>
      <c r="N22" s="11" t="s">
        <v>21</v>
      </c>
    </row>
    <row r="23" s="1" customFormat="1" ht="33" customHeight="1" spans="1:14">
      <c r="A23" s="9">
        <v>376743</v>
      </c>
      <c r="B23" s="7" t="s">
        <v>16</v>
      </c>
      <c r="C23" s="10" t="s">
        <v>71</v>
      </c>
      <c r="D23" s="11" t="s">
        <v>72</v>
      </c>
      <c r="E23" s="12">
        <v>1</v>
      </c>
      <c r="F23" s="8">
        <v>0</v>
      </c>
      <c r="G23" s="8">
        <f t="shared" si="0"/>
        <v>0</v>
      </c>
      <c r="H23" s="8" t="s">
        <v>73</v>
      </c>
      <c r="I23" s="8">
        <v>1039</v>
      </c>
      <c r="J23" s="8" t="s">
        <v>20</v>
      </c>
      <c r="K23" s="8">
        <v>1072</v>
      </c>
      <c r="L23" s="8" t="s">
        <v>73</v>
      </c>
      <c r="M23" s="8">
        <v>4038</v>
      </c>
      <c r="N23" s="11" t="s">
        <v>21</v>
      </c>
    </row>
    <row r="24" s="1" customFormat="1" ht="33" customHeight="1" spans="1:14">
      <c r="A24" s="9">
        <v>376758</v>
      </c>
      <c r="B24" s="7" t="s">
        <v>16</v>
      </c>
      <c r="C24" s="10" t="s">
        <v>74</v>
      </c>
      <c r="D24" s="11" t="s">
        <v>75</v>
      </c>
      <c r="E24" s="12">
        <v>1</v>
      </c>
      <c r="F24" s="8">
        <v>0</v>
      </c>
      <c r="G24" s="8">
        <f t="shared" si="0"/>
        <v>0</v>
      </c>
      <c r="H24" s="8" t="s">
        <v>76</v>
      </c>
      <c r="I24" s="8">
        <v>1032</v>
      </c>
      <c r="J24" s="8" t="s">
        <v>20</v>
      </c>
      <c r="K24" s="8">
        <v>1072</v>
      </c>
      <c r="L24" s="8" t="s">
        <v>76</v>
      </c>
      <c r="M24" s="8">
        <v>4031</v>
      </c>
      <c r="N24" s="11" t="s">
        <v>21</v>
      </c>
    </row>
    <row r="25" s="1" customFormat="1" ht="33" customHeight="1" spans="1:14">
      <c r="A25" s="9">
        <v>376798</v>
      </c>
      <c r="B25" s="7" t="s">
        <v>16</v>
      </c>
      <c r="C25" s="10" t="s">
        <v>77</v>
      </c>
      <c r="D25" s="11" t="s">
        <v>78</v>
      </c>
      <c r="E25" s="12">
        <v>3</v>
      </c>
      <c r="F25" s="8">
        <v>0</v>
      </c>
      <c r="G25" s="8">
        <f t="shared" si="0"/>
        <v>0</v>
      </c>
      <c r="H25" s="8" t="s">
        <v>79</v>
      </c>
      <c r="I25" s="8">
        <v>1091</v>
      </c>
      <c r="J25" s="8" t="s">
        <v>20</v>
      </c>
      <c r="K25" s="8">
        <v>1072</v>
      </c>
      <c r="L25" s="8" t="s">
        <v>79</v>
      </c>
      <c r="M25" s="8">
        <v>4089</v>
      </c>
      <c r="N25" s="11" t="s">
        <v>21</v>
      </c>
    </row>
    <row r="26" s="1" customFormat="1" ht="33" customHeight="1" spans="1:14">
      <c r="A26" s="13">
        <v>377015</v>
      </c>
      <c r="B26" s="7" t="s">
        <v>16</v>
      </c>
      <c r="C26" s="10" t="s">
        <v>80</v>
      </c>
      <c r="D26" s="11" t="s">
        <v>81</v>
      </c>
      <c r="E26" s="12">
        <v>1</v>
      </c>
      <c r="F26" s="8">
        <v>0</v>
      </c>
      <c r="G26" s="8">
        <f t="shared" si="0"/>
        <v>0</v>
      </c>
      <c r="H26" s="14" t="s">
        <v>82</v>
      </c>
      <c r="I26" s="8">
        <v>1219</v>
      </c>
      <c r="J26" s="8" t="s">
        <v>20</v>
      </c>
      <c r="K26" s="8">
        <v>1072</v>
      </c>
      <c r="L26" s="8" t="s">
        <v>82</v>
      </c>
      <c r="M26" s="8">
        <v>4207</v>
      </c>
      <c r="N26" s="11" t="s">
        <v>21</v>
      </c>
    </row>
    <row r="27" s="1" customFormat="1" ht="33" customHeight="1" spans="1:14">
      <c r="A27" s="16"/>
      <c r="B27" s="7" t="s">
        <v>16</v>
      </c>
      <c r="C27" s="10" t="s">
        <v>83</v>
      </c>
      <c r="D27" s="11" t="s">
        <v>84</v>
      </c>
      <c r="E27" s="12">
        <v>1</v>
      </c>
      <c r="F27" s="8">
        <v>0</v>
      </c>
      <c r="G27" s="8">
        <f t="shared" si="0"/>
        <v>0</v>
      </c>
      <c r="H27" s="14" t="s">
        <v>82</v>
      </c>
      <c r="I27" s="8">
        <v>1219</v>
      </c>
      <c r="J27" s="8" t="s">
        <v>20</v>
      </c>
      <c r="K27" s="8">
        <v>1072</v>
      </c>
      <c r="L27" s="8" t="s">
        <v>82</v>
      </c>
      <c r="M27" s="8">
        <v>4207</v>
      </c>
      <c r="N27" s="11" t="s">
        <v>21</v>
      </c>
    </row>
    <row r="28" s="1" customFormat="1" ht="33" customHeight="1" spans="1:14">
      <c r="A28" s="15"/>
      <c r="B28" s="7" t="s">
        <v>16</v>
      </c>
      <c r="C28" s="10" t="s">
        <v>85</v>
      </c>
      <c r="D28" s="11" t="s">
        <v>86</v>
      </c>
      <c r="E28" s="12">
        <v>2</v>
      </c>
      <c r="F28" s="8">
        <v>0</v>
      </c>
      <c r="G28" s="8">
        <f t="shared" si="0"/>
        <v>0</v>
      </c>
      <c r="H28" s="14" t="s">
        <v>82</v>
      </c>
      <c r="I28" s="8">
        <v>1219</v>
      </c>
      <c r="J28" s="8" t="s">
        <v>20</v>
      </c>
      <c r="K28" s="8">
        <v>1072</v>
      </c>
      <c r="L28" s="8" t="s">
        <v>82</v>
      </c>
      <c r="M28" s="8">
        <v>4207</v>
      </c>
      <c r="N28" s="11" t="s">
        <v>21</v>
      </c>
    </row>
    <row r="29" s="1" customFormat="1" ht="33" customHeight="1" spans="1:14">
      <c r="A29" s="9">
        <v>377118</v>
      </c>
      <c r="B29" s="7" t="s">
        <v>16</v>
      </c>
      <c r="C29" s="10" t="s">
        <v>87</v>
      </c>
      <c r="D29" s="11" t="s">
        <v>88</v>
      </c>
      <c r="E29" s="12">
        <v>1</v>
      </c>
      <c r="F29" s="8">
        <v>0</v>
      </c>
      <c r="G29" s="8">
        <f t="shared" si="0"/>
        <v>0</v>
      </c>
      <c r="H29" s="8" t="s">
        <v>73</v>
      </c>
      <c r="I29" s="8">
        <v>1039</v>
      </c>
      <c r="J29" s="8" t="s">
        <v>20</v>
      </c>
      <c r="K29" s="8">
        <v>1072</v>
      </c>
      <c r="L29" s="8" t="s">
        <v>73</v>
      </c>
      <c r="M29" s="8">
        <v>4038</v>
      </c>
      <c r="N29" s="11" t="s">
        <v>89</v>
      </c>
    </row>
    <row r="30" s="1" customFormat="1" ht="33" customHeight="1" spans="1:14">
      <c r="A30" s="9">
        <v>377141</v>
      </c>
      <c r="B30" s="7" t="s">
        <v>16</v>
      </c>
      <c r="C30" s="10" t="s">
        <v>90</v>
      </c>
      <c r="D30" s="11" t="s">
        <v>91</v>
      </c>
      <c r="E30" s="12">
        <v>2</v>
      </c>
      <c r="F30" s="8">
        <v>0</v>
      </c>
      <c r="G30" s="8">
        <f t="shared" si="0"/>
        <v>0</v>
      </c>
      <c r="H30" s="8" t="s">
        <v>92</v>
      </c>
      <c r="I30" s="8">
        <v>1103</v>
      </c>
      <c r="J30" s="8" t="s">
        <v>20</v>
      </c>
      <c r="K30" s="8">
        <v>1072</v>
      </c>
      <c r="L30" s="8" t="s">
        <v>92</v>
      </c>
      <c r="M30" s="8">
        <v>4113</v>
      </c>
      <c r="N30" s="11" t="s">
        <v>21</v>
      </c>
    </row>
    <row r="31" s="1" customFormat="1" ht="33" customHeight="1" spans="1:14">
      <c r="A31" s="9">
        <v>377156</v>
      </c>
      <c r="B31" s="7" t="s">
        <v>16</v>
      </c>
      <c r="C31" s="10" t="s">
        <v>93</v>
      </c>
      <c r="D31" s="11" t="s">
        <v>94</v>
      </c>
      <c r="E31" s="12">
        <v>1</v>
      </c>
      <c r="F31" s="8">
        <v>0</v>
      </c>
      <c r="G31" s="8">
        <f t="shared" si="0"/>
        <v>0</v>
      </c>
      <c r="H31" s="8" t="s">
        <v>95</v>
      </c>
      <c r="I31" s="8">
        <v>1216</v>
      </c>
      <c r="J31" s="8" t="s">
        <v>20</v>
      </c>
      <c r="K31" s="8">
        <v>1072</v>
      </c>
      <c r="L31" s="8" t="s">
        <v>95</v>
      </c>
      <c r="M31" s="8">
        <v>4204</v>
      </c>
      <c r="N31" s="11" t="s">
        <v>21</v>
      </c>
    </row>
    <row r="32" s="1" customFormat="1" ht="33" customHeight="1" spans="1:14">
      <c r="A32" s="13">
        <v>377304</v>
      </c>
      <c r="B32" s="7" t="s">
        <v>16</v>
      </c>
      <c r="C32" s="10" t="s">
        <v>96</v>
      </c>
      <c r="D32" s="11" t="s">
        <v>97</v>
      </c>
      <c r="E32" s="12">
        <v>1</v>
      </c>
      <c r="F32" s="8">
        <v>0</v>
      </c>
      <c r="G32" s="8">
        <f t="shared" si="0"/>
        <v>0</v>
      </c>
      <c r="H32" s="14" t="s">
        <v>98</v>
      </c>
      <c r="I32" s="8">
        <v>1220</v>
      </c>
      <c r="J32" s="8" t="s">
        <v>20</v>
      </c>
      <c r="K32" s="8">
        <v>1072</v>
      </c>
      <c r="L32" s="8" t="s">
        <v>98</v>
      </c>
      <c r="M32" s="8">
        <v>4208</v>
      </c>
      <c r="N32" s="11" t="s">
        <v>21</v>
      </c>
    </row>
    <row r="33" s="1" customFormat="1" ht="33" customHeight="1" spans="1:14">
      <c r="A33" s="15"/>
      <c r="B33" s="7" t="s">
        <v>16</v>
      </c>
      <c r="C33" s="10" t="s">
        <v>83</v>
      </c>
      <c r="D33" s="11" t="s">
        <v>84</v>
      </c>
      <c r="E33" s="12">
        <v>1</v>
      </c>
      <c r="F33" s="8">
        <v>0</v>
      </c>
      <c r="G33" s="8">
        <f t="shared" si="0"/>
        <v>0</v>
      </c>
      <c r="H33" s="14" t="s">
        <v>98</v>
      </c>
      <c r="I33" s="8">
        <v>1220</v>
      </c>
      <c r="J33" s="8" t="s">
        <v>20</v>
      </c>
      <c r="K33" s="8">
        <v>1072</v>
      </c>
      <c r="L33" s="8" t="s">
        <v>98</v>
      </c>
      <c r="M33" s="8">
        <v>4208</v>
      </c>
      <c r="N33" s="11" t="s">
        <v>99</v>
      </c>
    </row>
    <row r="34" s="1" customFormat="1" ht="33" customHeight="1" spans="1:14">
      <c r="A34" s="13">
        <v>377422</v>
      </c>
      <c r="B34" s="7" t="s">
        <v>16</v>
      </c>
      <c r="C34" s="10" t="s">
        <v>100</v>
      </c>
      <c r="D34" s="11" t="s">
        <v>101</v>
      </c>
      <c r="E34" s="12">
        <v>1</v>
      </c>
      <c r="F34" s="8">
        <v>0</v>
      </c>
      <c r="G34" s="8">
        <f>E34*F34</f>
        <v>0</v>
      </c>
      <c r="H34" s="14" t="s">
        <v>102</v>
      </c>
      <c r="I34" s="8">
        <v>1038</v>
      </c>
      <c r="J34" s="8" t="s">
        <v>20</v>
      </c>
      <c r="K34" s="8">
        <v>1072</v>
      </c>
      <c r="L34" s="8" t="s">
        <v>102</v>
      </c>
      <c r="M34" s="8">
        <v>4037</v>
      </c>
      <c r="N34" s="11" t="s">
        <v>21</v>
      </c>
    </row>
    <row r="35" s="1" customFormat="1" ht="33" customHeight="1" spans="1:14">
      <c r="A35" s="15"/>
      <c r="B35" s="7" t="s">
        <v>16</v>
      </c>
      <c r="C35" s="10" t="s">
        <v>103</v>
      </c>
      <c r="D35" s="11" t="s">
        <v>104</v>
      </c>
      <c r="E35" s="12">
        <v>1</v>
      </c>
      <c r="F35" s="8">
        <v>0</v>
      </c>
      <c r="G35" s="8">
        <f>E35*F35</f>
        <v>0</v>
      </c>
      <c r="H35" s="14" t="s">
        <v>102</v>
      </c>
      <c r="I35" s="8">
        <v>1038</v>
      </c>
      <c r="J35" s="8" t="s">
        <v>20</v>
      </c>
      <c r="K35" s="8">
        <v>1072</v>
      </c>
      <c r="L35" s="8" t="s">
        <v>102</v>
      </c>
      <c r="M35" s="8">
        <v>4037</v>
      </c>
      <c r="N35" s="11" t="s">
        <v>21</v>
      </c>
    </row>
    <row r="36" s="1" customFormat="1" ht="33" customHeight="1" spans="1:14">
      <c r="A36" s="13">
        <v>377521</v>
      </c>
      <c r="B36" s="7" t="s">
        <v>16</v>
      </c>
      <c r="C36" s="10" t="s">
        <v>105</v>
      </c>
      <c r="D36" s="11" t="s">
        <v>106</v>
      </c>
      <c r="E36" s="12">
        <v>2</v>
      </c>
      <c r="F36" s="8">
        <v>0</v>
      </c>
      <c r="G36" s="8">
        <f>E36*F36</f>
        <v>0</v>
      </c>
      <c r="H36" s="14" t="s">
        <v>19</v>
      </c>
      <c r="I36" s="8">
        <v>1041</v>
      </c>
      <c r="J36" s="8" t="s">
        <v>20</v>
      </c>
      <c r="K36" s="8">
        <v>1072</v>
      </c>
      <c r="L36" s="8" t="s">
        <v>19</v>
      </c>
      <c r="M36" s="8">
        <v>4040</v>
      </c>
      <c r="N36" s="11" t="s">
        <v>107</v>
      </c>
    </row>
    <row r="37" s="1" customFormat="1" ht="33" customHeight="1" spans="1:14">
      <c r="A37" s="16"/>
      <c r="B37" s="7" t="s">
        <v>16</v>
      </c>
      <c r="C37" s="10" t="s">
        <v>108</v>
      </c>
      <c r="D37" s="11" t="s">
        <v>109</v>
      </c>
      <c r="E37" s="12">
        <v>4</v>
      </c>
      <c r="F37" s="8">
        <v>0</v>
      </c>
      <c r="G37" s="8">
        <f>E37*F37</f>
        <v>0</v>
      </c>
      <c r="H37" s="14" t="s">
        <v>19</v>
      </c>
      <c r="I37" s="8">
        <v>1041</v>
      </c>
      <c r="J37" s="8" t="s">
        <v>20</v>
      </c>
      <c r="K37" s="8">
        <v>1072</v>
      </c>
      <c r="L37" s="8" t="s">
        <v>19</v>
      </c>
      <c r="M37" s="8">
        <v>4040</v>
      </c>
      <c r="N37" s="11" t="s">
        <v>107</v>
      </c>
    </row>
    <row r="38" s="1" customFormat="1" ht="33" customHeight="1" spans="1:14">
      <c r="A38" s="15"/>
      <c r="B38" s="7" t="s">
        <v>16</v>
      </c>
      <c r="C38" s="10" t="s">
        <v>110</v>
      </c>
      <c r="D38" s="11" t="s">
        <v>111</v>
      </c>
      <c r="E38" s="12">
        <v>2</v>
      </c>
      <c r="F38" s="8">
        <v>0</v>
      </c>
      <c r="G38" s="8">
        <f>E38*F38</f>
        <v>0</v>
      </c>
      <c r="H38" s="14" t="s">
        <v>19</v>
      </c>
      <c r="I38" s="8">
        <v>1041</v>
      </c>
      <c r="J38" s="8" t="s">
        <v>20</v>
      </c>
      <c r="K38" s="8">
        <v>1072</v>
      </c>
      <c r="L38" s="8" t="s">
        <v>19</v>
      </c>
      <c r="M38" s="8">
        <v>4040</v>
      </c>
      <c r="N38" s="11" t="s">
        <v>107</v>
      </c>
    </row>
    <row r="39" s="1" customFormat="1" ht="33" customHeight="1" spans="1:14">
      <c r="A39" s="9">
        <v>377551</v>
      </c>
      <c r="B39" s="7" t="s">
        <v>16</v>
      </c>
      <c r="C39" s="10" t="s">
        <v>112</v>
      </c>
      <c r="D39" s="11" t="s">
        <v>113</v>
      </c>
      <c r="E39" s="12">
        <v>2</v>
      </c>
      <c r="F39" s="8">
        <v>0</v>
      </c>
      <c r="G39" s="8">
        <f>E39*F39</f>
        <v>0</v>
      </c>
      <c r="H39" s="8" t="s">
        <v>35</v>
      </c>
      <c r="I39" s="8">
        <v>1152</v>
      </c>
      <c r="J39" s="8" t="s">
        <v>20</v>
      </c>
      <c r="K39" s="8">
        <v>1072</v>
      </c>
      <c r="L39" s="8" t="s">
        <v>35</v>
      </c>
      <c r="M39" s="8">
        <v>4147</v>
      </c>
      <c r="N39" s="11" t="s">
        <v>21</v>
      </c>
    </row>
    <row r="40" s="1" customFormat="1" ht="33" customHeight="1" spans="1:14">
      <c r="A40" s="9">
        <v>377596</v>
      </c>
      <c r="B40" s="7" t="s">
        <v>16</v>
      </c>
      <c r="C40" s="10" t="s">
        <v>114</v>
      </c>
      <c r="D40" s="11" t="s">
        <v>115</v>
      </c>
      <c r="E40" s="12">
        <v>1</v>
      </c>
      <c r="F40" s="8">
        <v>0</v>
      </c>
      <c r="G40" s="8">
        <f>E40*F40</f>
        <v>0</v>
      </c>
      <c r="H40" s="8" t="s">
        <v>116</v>
      </c>
      <c r="I40" s="8">
        <v>1043</v>
      </c>
      <c r="J40" s="8" t="s">
        <v>20</v>
      </c>
      <c r="K40" s="8">
        <v>1072</v>
      </c>
      <c r="L40" s="8" t="s">
        <v>116</v>
      </c>
      <c r="M40" s="8">
        <v>4042</v>
      </c>
      <c r="N40" s="11" t="s">
        <v>117</v>
      </c>
    </row>
    <row r="41" s="1" customFormat="1" ht="33" customHeight="1" spans="1:14">
      <c r="A41" s="13">
        <v>377625</v>
      </c>
      <c r="B41" s="7" t="s">
        <v>16</v>
      </c>
      <c r="C41" s="10" t="s">
        <v>118</v>
      </c>
      <c r="D41" s="11" t="s">
        <v>119</v>
      </c>
      <c r="E41" s="12">
        <v>1</v>
      </c>
      <c r="F41" s="8">
        <v>0</v>
      </c>
      <c r="G41" s="8">
        <f>E41*F41</f>
        <v>0</v>
      </c>
      <c r="H41" s="14" t="s">
        <v>46</v>
      </c>
      <c r="I41" s="8">
        <v>1164</v>
      </c>
      <c r="J41" s="8" t="s">
        <v>20</v>
      </c>
      <c r="K41" s="8">
        <v>1072</v>
      </c>
      <c r="L41" s="8" t="s">
        <v>46</v>
      </c>
      <c r="M41" s="8">
        <v>4159</v>
      </c>
      <c r="N41" s="11" t="s">
        <v>120</v>
      </c>
    </row>
    <row r="42" s="1" customFormat="1" ht="33" customHeight="1" spans="1:14">
      <c r="A42" s="16"/>
      <c r="B42" s="7" t="s">
        <v>16</v>
      </c>
      <c r="C42" s="10" t="s">
        <v>105</v>
      </c>
      <c r="D42" s="11" t="s">
        <v>106</v>
      </c>
      <c r="E42" s="12">
        <v>1</v>
      </c>
      <c r="F42" s="8">
        <v>0</v>
      </c>
      <c r="G42" s="8">
        <f>E42*F42</f>
        <v>0</v>
      </c>
      <c r="H42" s="14" t="s">
        <v>46</v>
      </c>
      <c r="I42" s="8">
        <v>1164</v>
      </c>
      <c r="J42" s="8" t="s">
        <v>20</v>
      </c>
      <c r="K42" s="8">
        <v>1072</v>
      </c>
      <c r="L42" s="8" t="s">
        <v>46</v>
      </c>
      <c r="M42" s="8">
        <v>4159</v>
      </c>
      <c r="N42" s="11" t="s">
        <v>120</v>
      </c>
    </row>
    <row r="43" s="1" customFormat="1" ht="33" customHeight="1" spans="1:14">
      <c r="A43" s="16"/>
      <c r="B43" s="7" t="s">
        <v>16</v>
      </c>
      <c r="C43" s="10" t="s">
        <v>121</v>
      </c>
      <c r="D43" s="11" t="s">
        <v>122</v>
      </c>
      <c r="E43" s="12">
        <v>3</v>
      </c>
      <c r="F43" s="8">
        <v>0</v>
      </c>
      <c r="G43" s="8">
        <f>E43*F43</f>
        <v>0</v>
      </c>
      <c r="H43" s="14" t="s">
        <v>46</v>
      </c>
      <c r="I43" s="8">
        <v>1164</v>
      </c>
      <c r="J43" s="8" t="s">
        <v>20</v>
      </c>
      <c r="K43" s="8">
        <v>1072</v>
      </c>
      <c r="L43" s="8" t="s">
        <v>46</v>
      </c>
      <c r="M43" s="8">
        <v>4159</v>
      </c>
      <c r="N43" s="11" t="s">
        <v>120</v>
      </c>
    </row>
    <row r="44" s="1" customFormat="1" ht="33" customHeight="1" spans="1:14">
      <c r="A44" s="16"/>
      <c r="B44" s="7" t="s">
        <v>16</v>
      </c>
      <c r="C44" s="10" t="s">
        <v>123</v>
      </c>
      <c r="D44" s="11" t="s">
        <v>124</v>
      </c>
      <c r="E44" s="12">
        <v>12</v>
      </c>
      <c r="F44" s="8">
        <v>0</v>
      </c>
      <c r="G44" s="8">
        <f>E44*F44</f>
        <v>0</v>
      </c>
      <c r="H44" s="14" t="s">
        <v>46</v>
      </c>
      <c r="I44" s="8">
        <v>1164</v>
      </c>
      <c r="J44" s="8" t="s">
        <v>20</v>
      </c>
      <c r="K44" s="8">
        <v>1072</v>
      </c>
      <c r="L44" s="8" t="s">
        <v>46</v>
      </c>
      <c r="M44" s="8">
        <v>4159</v>
      </c>
      <c r="N44" s="11" t="s">
        <v>120</v>
      </c>
    </row>
    <row r="45" s="1" customFormat="1" ht="33" customHeight="1" spans="1:14">
      <c r="A45" s="15"/>
      <c r="B45" s="7" t="s">
        <v>16</v>
      </c>
      <c r="C45" s="10" t="s">
        <v>125</v>
      </c>
      <c r="D45" s="11" t="s">
        <v>126</v>
      </c>
      <c r="E45" s="12">
        <v>7</v>
      </c>
      <c r="F45" s="8">
        <v>0</v>
      </c>
      <c r="G45" s="8">
        <f>E45*F45</f>
        <v>0</v>
      </c>
      <c r="H45" s="14" t="s">
        <v>46</v>
      </c>
      <c r="I45" s="8">
        <v>1164</v>
      </c>
      <c r="J45" s="8" t="s">
        <v>20</v>
      </c>
      <c r="K45" s="8">
        <v>1072</v>
      </c>
      <c r="L45" s="8" t="s">
        <v>46</v>
      </c>
      <c r="M45" s="8">
        <v>4159</v>
      </c>
      <c r="N45" s="11" t="s">
        <v>120</v>
      </c>
    </row>
    <row r="46" s="1" customFormat="1" ht="33" customHeight="1" spans="1:14">
      <c r="A46" s="9">
        <v>377647</v>
      </c>
      <c r="B46" s="7" t="s">
        <v>16</v>
      </c>
      <c r="C46" s="10" t="s">
        <v>127</v>
      </c>
      <c r="D46" s="11" t="s">
        <v>128</v>
      </c>
      <c r="E46" s="12">
        <v>1</v>
      </c>
      <c r="F46" s="8">
        <v>0</v>
      </c>
      <c r="G46" s="8">
        <f>E46*F46</f>
        <v>0</v>
      </c>
      <c r="H46" s="8" t="s">
        <v>129</v>
      </c>
      <c r="I46" s="8">
        <v>1155</v>
      </c>
      <c r="J46" s="8" t="s">
        <v>20</v>
      </c>
      <c r="K46" s="8">
        <v>1072</v>
      </c>
      <c r="L46" s="8" t="s">
        <v>129</v>
      </c>
      <c r="M46" s="8">
        <v>4150</v>
      </c>
      <c r="N46" s="11" t="s">
        <v>21</v>
      </c>
    </row>
    <row r="47" s="1" customFormat="1" ht="33" customHeight="1" spans="1:14">
      <c r="A47" s="9">
        <v>377674</v>
      </c>
      <c r="B47" s="7" t="s">
        <v>16</v>
      </c>
      <c r="C47" s="10" t="s">
        <v>130</v>
      </c>
      <c r="D47" s="11" t="s">
        <v>131</v>
      </c>
      <c r="E47" s="12">
        <v>1</v>
      </c>
      <c r="F47" s="8">
        <v>0</v>
      </c>
      <c r="G47" s="8">
        <f>E47*F47</f>
        <v>0</v>
      </c>
      <c r="H47" s="8" t="s">
        <v>132</v>
      </c>
      <c r="I47" s="8">
        <v>1215</v>
      </c>
      <c r="J47" s="8" t="s">
        <v>20</v>
      </c>
      <c r="K47" s="8">
        <v>1072</v>
      </c>
      <c r="L47" s="8" t="s">
        <v>132</v>
      </c>
      <c r="M47" s="8">
        <v>4203</v>
      </c>
      <c r="N47" s="11" t="s">
        <v>133</v>
      </c>
    </row>
    <row r="48" s="1" customFormat="1" ht="33" customHeight="1" spans="1:14">
      <c r="A48" s="9">
        <v>377729</v>
      </c>
      <c r="B48" s="7" t="s">
        <v>16</v>
      </c>
      <c r="C48" s="10" t="s">
        <v>134</v>
      </c>
      <c r="D48" s="11" t="s">
        <v>135</v>
      </c>
      <c r="E48" s="12">
        <v>1</v>
      </c>
      <c r="F48" s="8">
        <v>0</v>
      </c>
      <c r="G48" s="8">
        <f>E48*F48</f>
        <v>0</v>
      </c>
      <c r="H48" s="8" t="s">
        <v>136</v>
      </c>
      <c r="I48" s="8">
        <v>1029</v>
      </c>
      <c r="J48" s="8" t="s">
        <v>20</v>
      </c>
      <c r="K48" s="8">
        <v>1072</v>
      </c>
      <c r="L48" s="8" t="s">
        <v>136</v>
      </c>
      <c r="M48" s="8">
        <v>4028</v>
      </c>
      <c r="N48" s="11" t="s">
        <v>21</v>
      </c>
    </row>
    <row r="49" s="1" customFormat="1" ht="33" customHeight="1" spans="1:14">
      <c r="A49" s="9">
        <v>377858</v>
      </c>
      <c r="B49" s="7" t="s">
        <v>16</v>
      </c>
      <c r="C49" s="10" t="s">
        <v>137</v>
      </c>
      <c r="D49" s="11" t="s">
        <v>138</v>
      </c>
      <c r="E49" s="12">
        <v>1</v>
      </c>
      <c r="F49" s="8">
        <v>0</v>
      </c>
      <c r="G49" s="8">
        <f>E49*F49</f>
        <v>0</v>
      </c>
      <c r="H49" s="8" t="s">
        <v>139</v>
      </c>
      <c r="I49" s="8">
        <v>1053</v>
      </c>
      <c r="J49" s="8" t="s">
        <v>20</v>
      </c>
      <c r="K49" s="8">
        <v>1072</v>
      </c>
      <c r="L49" s="8" t="s">
        <v>139</v>
      </c>
      <c r="M49" s="8">
        <v>4052</v>
      </c>
      <c r="N49" s="11" t="s">
        <v>21</v>
      </c>
    </row>
    <row r="50" s="1" customFormat="1" ht="33" customHeight="1" spans="1:14">
      <c r="A50" s="13">
        <v>377985</v>
      </c>
      <c r="B50" s="7" t="s">
        <v>16</v>
      </c>
      <c r="C50" s="10" t="s">
        <v>22</v>
      </c>
      <c r="D50" s="11" t="s">
        <v>23</v>
      </c>
      <c r="E50" s="12">
        <v>1</v>
      </c>
      <c r="F50" s="8">
        <v>0</v>
      </c>
      <c r="G50" s="8">
        <f>E50*F50</f>
        <v>0</v>
      </c>
      <c r="H50" s="14" t="s">
        <v>24</v>
      </c>
      <c r="I50" s="8">
        <v>1127</v>
      </c>
      <c r="J50" s="8" t="s">
        <v>20</v>
      </c>
      <c r="K50" s="8">
        <v>1072</v>
      </c>
      <c r="L50" s="8" t="s">
        <v>24</v>
      </c>
      <c r="M50" s="8">
        <v>4122</v>
      </c>
      <c r="N50" s="11" t="s">
        <v>21</v>
      </c>
    </row>
    <row r="51" s="1" customFormat="1" ht="33" customHeight="1" spans="1:14">
      <c r="A51" s="15"/>
      <c r="B51" s="7" t="s">
        <v>16</v>
      </c>
      <c r="C51" s="10" t="s">
        <v>25</v>
      </c>
      <c r="D51" s="11" t="s">
        <v>26</v>
      </c>
      <c r="E51" s="12">
        <v>1</v>
      </c>
      <c r="F51" s="8">
        <v>0</v>
      </c>
      <c r="G51" s="8">
        <f>E51*F51</f>
        <v>0</v>
      </c>
      <c r="H51" s="14" t="s">
        <v>24</v>
      </c>
      <c r="I51" s="8">
        <v>1127</v>
      </c>
      <c r="J51" s="8" t="s">
        <v>20</v>
      </c>
      <c r="K51" s="8">
        <v>1072</v>
      </c>
      <c r="L51" s="8" t="s">
        <v>24</v>
      </c>
      <c r="M51" s="8">
        <v>4122</v>
      </c>
      <c r="N51" s="11" t="s">
        <v>21</v>
      </c>
    </row>
    <row r="52" s="1" customFormat="1" ht="33" customHeight="1" spans="1:14">
      <c r="A52" s="9">
        <v>377987</v>
      </c>
      <c r="B52" s="7" t="s">
        <v>16</v>
      </c>
      <c r="C52" s="10" t="s">
        <v>83</v>
      </c>
      <c r="D52" s="11" t="s">
        <v>84</v>
      </c>
      <c r="E52" s="12">
        <v>1</v>
      </c>
      <c r="F52" s="8">
        <v>0</v>
      </c>
      <c r="G52" s="8">
        <f>E52*F52</f>
        <v>0</v>
      </c>
      <c r="H52" s="8" t="s">
        <v>38</v>
      </c>
      <c r="I52" s="8">
        <v>1030</v>
      </c>
      <c r="J52" s="8" t="s">
        <v>20</v>
      </c>
      <c r="K52" s="8">
        <v>1072</v>
      </c>
      <c r="L52" s="8" t="s">
        <v>38</v>
      </c>
      <c r="M52" s="8">
        <v>4029</v>
      </c>
      <c r="N52" s="11" t="s">
        <v>21</v>
      </c>
    </row>
    <row r="53" s="1" customFormat="1" ht="33" customHeight="1" spans="1:14">
      <c r="A53" s="9">
        <v>378024</v>
      </c>
      <c r="B53" s="7" t="s">
        <v>16</v>
      </c>
      <c r="C53" s="10" t="s">
        <v>140</v>
      </c>
      <c r="D53" s="11" t="s">
        <v>141</v>
      </c>
      <c r="E53" s="12">
        <v>1</v>
      </c>
      <c r="F53" s="8">
        <v>0</v>
      </c>
      <c r="G53" s="8">
        <f>E53*F53</f>
        <v>0</v>
      </c>
      <c r="H53" s="8" t="s">
        <v>32</v>
      </c>
      <c r="I53" s="8">
        <v>1133</v>
      </c>
      <c r="J53" s="8" t="s">
        <v>20</v>
      </c>
      <c r="K53" s="8">
        <v>1072</v>
      </c>
      <c r="L53" s="8" t="s">
        <v>32</v>
      </c>
      <c r="M53" s="8">
        <v>4128</v>
      </c>
      <c r="N53" s="11" t="s">
        <v>21</v>
      </c>
    </row>
    <row r="54" s="1" customFormat="1" ht="33" customHeight="1" spans="1:14">
      <c r="A54" s="9">
        <v>378083</v>
      </c>
      <c r="B54" s="7" t="s">
        <v>16</v>
      </c>
      <c r="C54" s="10" t="s">
        <v>114</v>
      </c>
      <c r="D54" s="11" t="s">
        <v>115</v>
      </c>
      <c r="E54" s="12">
        <v>1</v>
      </c>
      <c r="F54" s="8">
        <v>0</v>
      </c>
      <c r="G54" s="8">
        <f>E54*F54</f>
        <v>0</v>
      </c>
      <c r="H54" s="8" t="s">
        <v>29</v>
      </c>
      <c r="I54" s="8">
        <v>1031</v>
      </c>
      <c r="J54" s="8" t="s">
        <v>20</v>
      </c>
      <c r="K54" s="8">
        <v>1072</v>
      </c>
      <c r="L54" s="8" t="s">
        <v>29</v>
      </c>
      <c r="M54" s="8">
        <v>4030</v>
      </c>
      <c r="N54" s="11" t="s">
        <v>142</v>
      </c>
    </row>
    <row r="55" s="1" customFormat="1" ht="33" customHeight="1" spans="1:14">
      <c r="A55" s="9">
        <v>378088</v>
      </c>
      <c r="B55" s="7" t="s">
        <v>16</v>
      </c>
      <c r="C55" s="10" t="s">
        <v>143</v>
      </c>
      <c r="D55" s="11" t="s">
        <v>144</v>
      </c>
      <c r="E55" s="12">
        <v>1</v>
      </c>
      <c r="F55" s="8">
        <v>0</v>
      </c>
      <c r="G55" s="8">
        <f>E55*F55</f>
        <v>0</v>
      </c>
      <c r="H55" s="8" t="s">
        <v>145</v>
      </c>
      <c r="I55" s="8">
        <v>1051</v>
      </c>
      <c r="J55" s="8" t="s">
        <v>20</v>
      </c>
      <c r="K55" s="8">
        <v>1072</v>
      </c>
      <c r="L55" s="8" t="s">
        <v>145</v>
      </c>
      <c r="M55" s="8">
        <v>4050</v>
      </c>
      <c r="N55" s="11" t="s">
        <v>21</v>
      </c>
    </row>
    <row r="56" s="1" customFormat="1" ht="33" customHeight="1" spans="1:14">
      <c r="A56" s="9">
        <v>378231</v>
      </c>
      <c r="B56" s="7" t="s">
        <v>16</v>
      </c>
      <c r="C56" s="10" t="s">
        <v>146</v>
      </c>
      <c r="D56" s="11" t="s">
        <v>147</v>
      </c>
      <c r="E56" s="12">
        <v>1</v>
      </c>
      <c r="F56" s="8">
        <v>0</v>
      </c>
      <c r="G56" s="8">
        <f>E56*F56</f>
        <v>0</v>
      </c>
      <c r="H56" s="14" t="s">
        <v>148</v>
      </c>
      <c r="I56" s="8">
        <v>1157</v>
      </c>
      <c r="J56" s="8" t="s">
        <v>20</v>
      </c>
      <c r="K56" s="8">
        <v>1072</v>
      </c>
      <c r="L56" s="8" t="s">
        <v>148</v>
      </c>
      <c r="M56" s="8">
        <v>4152</v>
      </c>
      <c r="N56" s="11" t="s">
        <v>149</v>
      </c>
    </row>
    <row r="57" s="1" customFormat="1" ht="33" customHeight="1" spans="1:14">
      <c r="A57" s="9">
        <v>378233</v>
      </c>
      <c r="B57" s="7" t="s">
        <v>16</v>
      </c>
      <c r="C57" s="10" t="s">
        <v>150</v>
      </c>
      <c r="D57" s="11" t="s">
        <v>151</v>
      </c>
      <c r="E57" s="12">
        <v>1</v>
      </c>
      <c r="F57" s="8">
        <v>0</v>
      </c>
      <c r="G57" s="8">
        <f>E57*F57</f>
        <v>0</v>
      </c>
      <c r="H57" s="14" t="s">
        <v>148</v>
      </c>
      <c r="I57" s="8">
        <v>1157</v>
      </c>
      <c r="J57" s="8" t="s">
        <v>20</v>
      </c>
      <c r="K57" s="8">
        <v>1072</v>
      </c>
      <c r="L57" s="8" t="s">
        <v>148</v>
      </c>
      <c r="M57" s="8">
        <v>4152</v>
      </c>
      <c r="N57" s="11" t="s">
        <v>149</v>
      </c>
    </row>
    <row r="58" s="1" customFormat="1" ht="33" customHeight="1" spans="1:14">
      <c r="A58" s="9">
        <v>378255</v>
      </c>
      <c r="B58" s="7" t="s">
        <v>16</v>
      </c>
      <c r="C58" s="10" t="s">
        <v>152</v>
      </c>
      <c r="D58" s="11" t="s">
        <v>153</v>
      </c>
      <c r="E58" s="12">
        <v>1</v>
      </c>
      <c r="F58" s="8">
        <v>0</v>
      </c>
      <c r="G58" s="8">
        <f>E58*F58</f>
        <v>0</v>
      </c>
      <c r="H58" s="8" t="s">
        <v>19</v>
      </c>
      <c r="I58" s="8">
        <v>1041</v>
      </c>
      <c r="J58" s="8" t="s">
        <v>20</v>
      </c>
      <c r="K58" s="8">
        <v>1072</v>
      </c>
      <c r="L58" s="8" t="s">
        <v>19</v>
      </c>
      <c r="M58" s="8">
        <v>4040</v>
      </c>
      <c r="N58" s="11" t="s">
        <v>21</v>
      </c>
    </row>
    <row r="59" s="1" customFormat="1" ht="33" customHeight="1" spans="1:14">
      <c r="A59" s="13">
        <v>378296</v>
      </c>
      <c r="B59" s="7" t="s">
        <v>16</v>
      </c>
      <c r="C59" s="10" t="s">
        <v>22</v>
      </c>
      <c r="D59" s="11" t="s">
        <v>23</v>
      </c>
      <c r="E59" s="12">
        <v>1</v>
      </c>
      <c r="F59" s="8">
        <v>0</v>
      </c>
      <c r="G59" s="8">
        <f>E59*F59</f>
        <v>0</v>
      </c>
      <c r="H59" s="14" t="s">
        <v>154</v>
      </c>
      <c r="I59" s="8">
        <v>1046</v>
      </c>
      <c r="J59" s="8" t="s">
        <v>20</v>
      </c>
      <c r="K59" s="8">
        <v>1072</v>
      </c>
      <c r="L59" s="8" t="s">
        <v>154</v>
      </c>
      <c r="M59" s="8">
        <v>4045</v>
      </c>
      <c r="N59" s="11" t="s">
        <v>21</v>
      </c>
    </row>
    <row r="60" s="1" customFormat="1" ht="33" customHeight="1" spans="1:14">
      <c r="A60" s="15"/>
      <c r="B60" s="7" t="s">
        <v>16</v>
      </c>
      <c r="C60" s="10" t="s">
        <v>22</v>
      </c>
      <c r="D60" s="11" t="s">
        <v>23</v>
      </c>
      <c r="E60" s="12">
        <v>2</v>
      </c>
      <c r="F60" s="8">
        <v>0</v>
      </c>
      <c r="G60" s="8">
        <f>E60*F60</f>
        <v>0</v>
      </c>
      <c r="H60" s="14" t="s">
        <v>154</v>
      </c>
      <c r="I60" s="8">
        <v>1046</v>
      </c>
      <c r="J60" s="8" t="s">
        <v>20</v>
      </c>
      <c r="K60" s="8">
        <v>1072</v>
      </c>
      <c r="L60" s="8" t="s">
        <v>154</v>
      </c>
      <c r="M60" s="8">
        <v>4045</v>
      </c>
      <c r="N60" s="11" t="s">
        <v>21</v>
      </c>
    </row>
    <row r="61" s="1" customFormat="1" ht="33" customHeight="1" spans="1:14">
      <c r="A61" s="9">
        <v>378319</v>
      </c>
      <c r="B61" s="7" t="s">
        <v>16</v>
      </c>
      <c r="C61" s="10" t="s">
        <v>155</v>
      </c>
      <c r="D61" s="11" t="s">
        <v>156</v>
      </c>
      <c r="E61" s="12">
        <v>1</v>
      </c>
      <c r="F61" s="8">
        <v>0</v>
      </c>
      <c r="G61" s="8">
        <f>E61*F61</f>
        <v>0</v>
      </c>
      <c r="H61" s="8" t="s">
        <v>157</v>
      </c>
      <c r="I61" s="8">
        <v>1042</v>
      </c>
      <c r="J61" s="8" t="s">
        <v>20</v>
      </c>
      <c r="K61" s="8">
        <v>1072</v>
      </c>
      <c r="L61" s="8" t="s">
        <v>157</v>
      </c>
      <c r="M61" s="8">
        <v>4041</v>
      </c>
      <c r="N61" s="11" t="s">
        <v>21</v>
      </c>
    </row>
    <row r="62" s="1" customFormat="1" ht="33" customHeight="1" spans="1:14">
      <c r="A62" s="9">
        <v>378341</v>
      </c>
      <c r="B62" s="7" t="s">
        <v>16</v>
      </c>
      <c r="C62" s="10" t="s">
        <v>130</v>
      </c>
      <c r="D62" s="11" t="s">
        <v>131</v>
      </c>
      <c r="E62" s="12">
        <v>1</v>
      </c>
      <c r="F62" s="8">
        <v>0</v>
      </c>
      <c r="G62" s="8">
        <f>E62*F62</f>
        <v>0</v>
      </c>
      <c r="H62" s="8" t="s">
        <v>38</v>
      </c>
      <c r="I62" s="8">
        <v>1030</v>
      </c>
      <c r="J62" s="8" t="s">
        <v>20</v>
      </c>
      <c r="K62" s="8">
        <v>1072</v>
      </c>
      <c r="L62" s="8" t="s">
        <v>38</v>
      </c>
      <c r="M62" s="8">
        <v>4029</v>
      </c>
      <c r="N62" s="11" t="s">
        <v>21</v>
      </c>
    </row>
    <row r="63" s="1" customFormat="1" ht="33" customHeight="1" spans="1:14">
      <c r="A63" s="9">
        <v>378357</v>
      </c>
      <c r="B63" s="7" t="s">
        <v>16</v>
      </c>
      <c r="C63" s="10" t="s">
        <v>158</v>
      </c>
      <c r="D63" s="11" t="s">
        <v>159</v>
      </c>
      <c r="E63" s="12">
        <v>30</v>
      </c>
      <c r="F63" s="8">
        <v>0</v>
      </c>
      <c r="G63" s="8">
        <f>E63*F63</f>
        <v>0</v>
      </c>
      <c r="H63" s="8" t="s">
        <v>160</v>
      </c>
      <c r="I63" s="8">
        <v>1185</v>
      </c>
      <c r="J63" s="8" t="s">
        <v>20</v>
      </c>
      <c r="K63" s="8">
        <v>1072</v>
      </c>
      <c r="L63" s="8" t="s">
        <v>160</v>
      </c>
      <c r="M63" s="8">
        <v>4180</v>
      </c>
      <c r="N63" s="11" t="s">
        <v>21</v>
      </c>
    </row>
    <row r="64" s="1" customFormat="1" ht="33" customHeight="1" spans="1:14">
      <c r="A64" s="9">
        <v>378401</v>
      </c>
      <c r="B64" s="7" t="s">
        <v>16</v>
      </c>
      <c r="C64" s="10" t="s">
        <v>161</v>
      </c>
      <c r="D64" s="11" t="s">
        <v>162</v>
      </c>
      <c r="E64" s="12">
        <v>1</v>
      </c>
      <c r="F64" s="8">
        <v>0</v>
      </c>
      <c r="G64" s="8">
        <f>E64*F64</f>
        <v>0</v>
      </c>
      <c r="H64" s="8" t="s">
        <v>157</v>
      </c>
      <c r="I64" s="8">
        <v>1042</v>
      </c>
      <c r="J64" s="8" t="s">
        <v>20</v>
      </c>
      <c r="K64" s="8">
        <v>1072</v>
      </c>
      <c r="L64" s="8" t="s">
        <v>157</v>
      </c>
      <c r="M64" s="8">
        <v>4041</v>
      </c>
      <c r="N64" s="11" t="s">
        <v>163</v>
      </c>
    </row>
    <row r="65" s="1" customFormat="1" ht="33" customHeight="1" spans="1:14">
      <c r="A65" s="18"/>
      <c r="B65" s="7"/>
      <c r="C65" s="10"/>
      <c r="D65" s="11"/>
      <c r="E65" s="12"/>
      <c r="F65" s="8"/>
      <c r="G65" s="8"/>
      <c r="H65" s="8"/>
      <c r="I65" s="8"/>
      <c r="J65" s="8"/>
      <c r="K65" s="8"/>
      <c r="L65" s="8"/>
      <c r="M65" s="8"/>
      <c r="N65" s="11"/>
    </row>
    <row r="66" s="2" customFormat="1" ht="51" customHeight="1" spans="1:14">
      <c r="A66" s="7"/>
      <c r="B66" s="7"/>
      <c r="C66" s="7" t="s">
        <v>164</v>
      </c>
      <c r="D66" s="19" t="s">
        <v>165</v>
      </c>
      <c r="E66" s="19"/>
      <c r="F66" s="19"/>
      <c r="G66" s="19"/>
      <c r="H66" s="19"/>
      <c r="I66" s="19"/>
      <c r="J66" s="19"/>
      <c r="K66" s="19"/>
      <c r="L66" s="19"/>
      <c r="M66" s="19"/>
      <c r="N66" s="20"/>
    </row>
    <row r="67" s="2" customFormat="1" ht="33" customHeight="1" spans="1:14">
      <c r="A67" s="7"/>
      <c r="B67" s="7"/>
      <c r="C67" s="7"/>
      <c r="D67" s="19" t="s">
        <v>166</v>
      </c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="2" customFormat="1" customHeight="1" spans="1:14">
      <c r="A68" s="6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</sheetData>
  <autoFilter xmlns:etc="http://www.wps.cn/officeDocument/2017/etCustomData" ref="A3:N64" etc:filterBottomFollowUsedRange="0">
    <extLst/>
  </autoFilter>
  <mergeCells count="16">
    <mergeCell ref="A1:N1"/>
    <mergeCell ref="A2:N2"/>
    <mergeCell ref="D66:G66"/>
    <mergeCell ref="D67:G67"/>
    <mergeCell ref="A68:N68"/>
    <mergeCell ref="A5:A6"/>
    <mergeCell ref="A10:A11"/>
    <mergeCell ref="A13:A14"/>
    <mergeCell ref="A19:A20"/>
    <mergeCell ref="A26:A28"/>
    <mergeCell ref="A32:A33"/>
    <mergeCell ref="A34:A35"/>
    <mergeCell ref="A36:A38"/>
    <mergeCell ref="A41:A45"/>
    <mergeCell ref="A50:A51"/>
    <mergeCell ref="A59:A60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2025-11-03T01:52:46Z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CBD1F13B4E94422E91976EB46A9B4D3C_13</vt:lpwstr>
  </property>
</Properties>
</file>