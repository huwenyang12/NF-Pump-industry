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 tabRatio="456"/>
  </bookViews>
  <sheets>
    <sheet name="售后收费出库" sheetId="83" r:id="rId1"/>
    <sheet name="Sheet1" sheetId="84" r:id="rId2"/>
  </sheets>
  <definedNames>
    <definedName name="_xlnm._FilterDatabase" localSheetId="0" hidden="1">售后收费出库!$A$3:$L$269</definedName>
    <definedName name="_xlnm.Print_Area" localSheetId="0">售后收费出库!$A$1:$L$274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<sst xmlns="http://schemas.openxmlformats.org/spreadsheetml/2006/main" count="1484" uniqueCount="703">
  <si>
    <t>南方泵业股份有限公司售后服务卡出库通知单</t>
  </si>
  <si>
    <t>发件人：**  联系电话：0000-888888</t>
  </si>
  <si>
    <t>服务卡编码（CRM号）</t>
  </si>
  <si>
    <t>客户名称（开票单位）</t>
  </si>
  <si>
    <t>物料编码</t>
  </si>
  <si>
    <t>物料名称</t>
  </si>
  <si>
    <t>数量</t>
  </si>
  <si>
    <t>单 价</t>
  </si>
  <si>
    <t>金 额</t>
  </si>
  <si>
    <r>
      <rPr>
        <sz val="12"/>
        <rFont val="微软雅黑"/>
        <charset val="134"/>
      </rPr>
      <t>类别（三包填ZTNN,收费的填</t>
    </r>
    <r>
      <rPr>
        <sz val="12"/>
        <color rgb="FFFF0000"/>
        <rFont val="微软雅黑"/>
        <charset val="134"/>
      </rPr>
      <t>ZTAN</t>
    </r>
    <r>
      <rPr>
        <sz val="12"/>
        <rFont val="微软雅黑"/>
        <charset val="134"/>
      </rPr>
      <t>）</t>
    </r>
  </si>
  <si>
    <t>工厂</t>
  </si>
  <si>
    <t>库位</t>
  </si>
  <si>
    <t>办事处库位对应编码</t>
  </si>
  <si>
    <t>备注费用承担方（显示抬头详细信息——文本）</t>
  </si>
  <si>
    <t>潍坊市亿丰环保有限公司</t>
  </si>
  <si>
    <t>1500003777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</si>
  <si>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SZ-35/SST4</t>
    </r>
  </si>
  <si>
    <t>473</t>
  </si>
  <si>
    <t>ZTAN</t>
  </si>
  <si>
    <t>榆林办</t>
  </si>
  <si>
    <t>北京国电富通科技发展有限责任公司天津分公司</t>
  </si>
  <si>
    <t>1200064839</t>
  </si>
  <si>
    <r>
      <t>YE3-200L-4|SW|B3|30|380V±15%|</t>
    </r>
    <r>
      <rPr>
        <sz val="11"/>
        <rFont val="宋体"/>
        <charset val="134"/>
      </rPr>
      <t>蓝</t>
    </r>
    <r>
      <rPr>
        <sz val="11"/>
        <rFont val="Arial"/>
        <charset val="134"/>
      </rPr>
      <t>IE3|</t>
    </r>
    <r>
      <rPr>
        <sz val="11"/>
        <rFont val="宋体"/>
        <charset val="134"/>
      </rPr>
      <t>江潮</t>
    </r>
    <r>
      <rPr>
        <sz val="11"/>
        <rFont val="Arial"/>
        <charset val="134"/>
      </rPr>
      <t>15</t>
    </r>
  </si>
  <si>
    <t>9484</t>
  </si>
  <si>
    <t>青海办</t>
  </si>
  <si>
    <t>1500036332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</si>
  <si>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NISO-53/S2S1E4</t>
    </r>
  </si>
  <si>
    <t>553</t>
  </si>
  <si>
    <t>江西麦得豪新材料有限公司</t>
  </si>
  <si>
    <t>1400000101</t>
  </si>
  <si>
    <r>
      <t>叶轮垫片</t>
    </r>
    <r>
      <rPr>
        <sz val="11"/>
        <rFont val="Arial"/>
        <charset val="134"/>
      </rPr>
      <t>|NISO-XJ2-02|316L|Φ36|Φ16.5|3.5</t>
    </r>
  </si>
  <si>
    <t>54</t>
  </si>
  <si>
    <t>新余办</t>
  </si>
  <si>
    <t>1400000577</t>
  </si>
  <si>
    <r>
      <t>泵轴</t>
    </r>
    <r>
      <rPr>
        <sz val="11"/>
        <rFont val="Arial"/>
        <charset val="134"/>
      </rPr>
      <t>|NISF125-100-200/55-02|304</t>
    </r>
  </si>
  <si>
    <t>1516</t>
  </si>
  <si>
    <t>1400000624</t>
  </si>
  <si>
    <r>
      <t>泵轴</t>
    </r>
    <r>
      <rPr>
        <sz val="11"/>
        <rFont val="Arial"/>
        <charset val="134"/>
      </rPr>
      <t>|NISF125-100-200/55-02|316L</t>
    </r>
  </si>
  <si>
    <t>2249</t>
  </si>
  <si>
    <t>1400033181</t>
  </si>
  <si>
    <r>
      <t>叶轮</t>
    </r>
    <r>
      <rPr>
        <sz val="11"/>
        <rFont val="Arial"/>
        <charset val="134"/>
      </rPr>
      <t>|NISO80-50-315A-01A|304|D322|55</t>
    </r>
    <r>
      <rPr>
        <sz val="11"/>
        <rFont val="宋体"/>
        <charset val="134"/>
      </rPr>
      <t>原配</t>
    </r>
  </si>
  <si>
    <t>1560</t>
  </si>
  <si>
    <t>1400033209</t>
  </si>
  <si>
    <r>
      <t>叶轮</t>
    </r>
    <r>
      <rPr>
        <sz val="11"/>
        <rFont val="Arial"/>
        <charset val="134"/>
      </rPr>
      <t>|NISO80-50-315A-01A|316|D322|55</t>
    </r>
    <r>
      <rPr>
        <sz val="11"/>
        <rFont val="宋体"/>
        <charset val="134"/>
      </rPr>
      <t>原配</t>
    </r>
  </si>
  <si>
    <t>2310</t>
  </si>
  <si>
    <t>1500003730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</si>
  <si>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NISO-43/BS1E4</t>
    </r>
  </si>
  <si>
    <t>398</t>
  </si>
  <si>
    <t>1500004075</t>
  </si>
  <si>
    <r>
      <t>316L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NISO-43/BS1E6</t>
    </r>
  </si>
  <si>
    <t>468</t>
  </si>
  <si>
    <t>1500004920</t>
  </si>
  <si>
    <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|345X7|</t>
    </r>
    <r>
      <rPr>
        <sz val="11"/>
        <rFont val="宋体"/>
        <charset val="134"/>
      </rPr>
      <t>乙丙橡胶</t>
    </r>
  </si>
  <si>
    <t>28</t>
  </si>
  <si>
    <t>1500005118</t>
  </si>
  <si>
    <r>
      <t>键</t>
    </r>
    <r>
      <rPr>
        <sz val="11"/>
        <rFont val="Arial"/>
        <charset val="134"/>
      </rPr>
      <t>|8X7X32|316|GB/T1096</t>
    </r>
  </si>
  <si>
    <t>24</t>
  </si>
  <si>
    <t>1500005962</t>
  </si>
  <si>
    <r>
      <t>弹簧垫圈</t>
    </r>
    <r>
      <rPr>
        <sz val="11"/>
        <rFont val="Arial"/>
        <charset val="134"/>
      </rPr>
      <t>|16|316|GB/T93</t>
    </r>
  </si>
  <si>
    <t>12</t>
  </si>
  <si>
    <t>1500029139</t>
  </si>
  <si>
    <r>
      <t>六角螺母</t>
    </r>
    <r>
      <rPr>
        <sz val="11"/>
        <rFont val="Arial"/>
        <charset val="134"/>
      </rPr>
      <t>|M16|316|GB/T6170</t>
    </r>
  </si>
  <si>
    <t>安徽华骐环保科技股份有限公司</t>
  </si>
  <si>
    <t>1500003244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</si>
  <si>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ZS-24/BS1E4/S1BE4</t>
    </r>
  </si>
  <si>
    <t>187</t>
  </si>
  <si>
    <t>洛阳办</t>
  </si>
  <si>
    <t>1500004283</t>
  </si>
  <si>
    <r>
      <t>深沟球轴承</t>
    </r>
    <r>
      <rPr>
        <sz val="11"/>
        <rFont val="Arial"/>
        <charset val="134"/>
      </rPr>
      <t>|6308ZZ|NSK|C3|ENS|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  <r>
      <rPr>
        <sz val="11"/>
        <rFont val="Arial"/>
        <charset val="134"/>
      </rPr>
      <t>(TT)</t>
    </r>
  </si>
  <si>
    <t>99</t>
  </si>
  <si>
    <t>潮州三环(集团)股份有限公司</t>
  </si>
  <si>
    <t>1400058500</t>
  </si>
  <si>
    <r>
      <t>叶轮</t>
    </r>
    <r>
      <rPr>
        <sz val="11"/>
        <rFont val="Arial"/>
        <charset val="134"/>
      </rPr>
      <t>|CDM1-01-00|304</t>
    </r>
  </si>
  <si>
    <t>汕头办</t>
  </si>
  <si>
    <t>1400058659</t>
  </si>
  <si>
    <r>
      <t>泵轴</t>
    </r>
    <r>
      <rPr>
        <sz val="11"/>
        <rFont val="Arial"/>
        <charset val="134"/>
      </rPr>
      <t>|CDM3-06|304|27</t>
    </r>
    <r>
      <rPr>
        <sz val="11"/>
        <rFont val="宋体"/>
        <charset val="134"/>
      </rPr>
      <t>级</t>
    </r>
    <r>
      <rPr>
        <sz val="11"/>
        <rFont val="Arial"/>
        <charset val="134"/>
      </rPr>
      <t>|</t>
    </r>
    <r>
      <rPr>
        <sz val="11"/>
        <rFont val="宋体"/>
        <charset val="134"/>
      </rPr>
      <t>高</t>
    </r>
    <r>
      <rPr>
        <sz val="11"/>
        <rFont val="Arial"/>
        <charset val="134"/>
      </rPr>
      <t>643</t>
    </r>
  </si>
  <si>
    <t>341</t>
  </si>
  <si>
    <t>1500005227</t>
  </si>
  <si>
    <r>
      <t>尼龙锁紧螺母</t>
    </r>
    <r>
      <rPr>
        <sz val="11"/>
        <rFont val="Arial"/>
        <charset val="134"/>
      </rPr>
      <t>|M8(</t>
    </r>
    <r>
      <rPr>
        <sz val="11"/>
        <rFont val="宋体"/>
        <charset val="134"/>
      </rPr>
      <t>左旋</t>
    </r>
    <r>
      <rPr>
        <sz val="11"/>
        <rFont val="Arial"/>
        <charset val="134"/>
      </rPr>
      <t>)|304|DIN985</t>
    </r>
  </si>
  <si>
    <t>3</t>
  </si>
  <si>
    <t>广东莞绿环保科技有限公司</t>
  </si>
  <si>
    <t>1500085180</t>
  </si>
  <si>
    <r>
      <t>轴承</t>
    </r>
    <r>
      <rPr>
        <sz val="11"/>
        <rFont val="Arial"/>
        <charset val="134"/>
      </rPr>
      <t>|65ZW25-40-18G|WC</t>
    </r>
  </si>
  <si>
    <t>182</t>
  </si>
  <si>
    <t>广东佰隆实业有限公司</t>
  </si>
  <si>
    <t>1500003251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</si>
  <si>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ZS-24/BS1F04</t>
    </r>
  </si>
  <si>
    <t>825</t>
  </si>
  <si>
    <t>东莞二部</t>
  </si>
  <si>
    <t>1500076697</t>
  </si>
  <si>
    <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|224X5.3|</t>
    </r>
    <r>
      <rPr>
        <sz val="11"/>
        <rFont val="宋体"/>
        <charset val="134"/>
      </rPr>
      <t>乙丙橡胶</t>
    </r>
  </si>
  <si>
    <t>1500085544</t>
  </si>
  <si>
    <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|116X4|</t>
    </r>
    <r>
      <rPr>
        <sz val="11"/>
        <rFont val="宋体"/>
        <charset val="134"/>
      </rPr>
      <t>乙丙橡胶</t>
    </r>
  </si>
  <si>
    <t>11</t>
  </si>
  <si>
    <t>1500161882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</si>
  <si>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CHM-15/S1B1F04|</t>
    </r>
    <r>
      <rPr>
        <sz val="11"/>
        <rFont val="宋体"/>
        <charset val="134"/>
      </rPr>
      <t>新结构</t>
    </r>
  </si>
  <si>
    <t>313</t>
  </si>
  <si>
    <t>莱特莱德(上海)技术有限公司</t>
  </si>
  <si>
    <t>1500174440</t>
  </si>
  <si>
    <r>
      <t>深沟球轴承</t>
    </r>
    <r>
      <rPr>
        <sz val="11"/>
        <rFont val="Arial"/>
        <charset val="134"/>
      </rPr>
      <t>|6212Z2|NSK|</t>
    </r>
    <r>
      <rPr>
        <sz val="11"/>
        <rFont val="宋体"/>
        <charset val="134"/>
      </rPr>
      <t>微特</t>
    </r>
  </si>
  <si>
    <t>940</t>
  </si>
  <si>
    <t>兰州办</t>
  </si>
  <si>
    <t>1500003919</t>
  </si>
  <si>
    <r>
      <t>316L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ZS-32/S2WE6</t>
    </r>
  </si>
  <si>
    <t>366</t>
  </si>
  <si>
    <t>深圳市京帝信息科技有限公司</t>
  </si>
  <si>
    <t>1400006880</t>
  </si>
  <si>
    <r>
      <t>下轴套</t>
    </r>
    <r>
      <rPr>
        <sz val="11"/>
        <rFont val="Arial"/>
        <charset val="134"/>
      </rPr>
      <t>|CDL32-00-06|LS30</t>
    </r>
  </si>
  <si>
    <t>60</t>
  </si>
  <si>
    <t>成都二部</t>
  </si>
  <si>
    <t>1400006909</t>
  </si>
  <si>
    <r>
      <t>调节桩</t>
    </r>
    <r>
      <rPr>
        <sz val="11"/>
        <rFont val="Arial"/>
        <charset val="134"/>
      </rPr>
      <t>|CDL32-00-09|</t>
    </r>
    <r>
      <rPr>
        <sz val="11"/>
        <rFont val="宋体"/>
        <charset val="134"/>
      </rPr>
      <t>大金氟橡胶</t>
    </r>
    <r>
      <rPr>
        <sz val="11"/>
        <rFont val="Arial"/>
        <charset val="134"/>
      </rPr>
      <t>F1(</t>
    </r>
    <r>
      <rPr>
        <sz val="11"/>
        <rFont val="宋体"/>
        <charset val="134"/>
      </rPr>
      <t>常规用</t>
    </r>
    <r>
      <rPr>
        <sz val="11"/>
        <rFont val="Arial"/>
        <charset val="134"/>
      </rPr>
      <t>)</t>
    </r>
  </si>
  <si>
    <t>10</t>
  </si>
  <si>
    <t>1500004141</t>
  </si>
  <si>
    <r>
      <t>下滑动轴承</t>
    </r>
    <r>
      <rPr>
        <sz val="11"/>
        <rFont val="Arial"/>
        <charset val="134"/>
      </rPr>
      <t>|CDL32-00-19|LS30</t>
    </r>
  </si>
  <si>
    <t>200</t>
  </si>
  <si>
    <t>广东世城精装科技股份有限公司</t>
  </si>
  <si>
    <t>1400032775</t>
  </si>
  <si>
    <r>
      <t>螺堵</t>
    </r>
    <r>
      <rPr>
        <sz val="11"/>
        <rFont val="Arial"/>
        <charset val="134"/>
      </rPr>
      <t>|</t>
    </r>
    <r>
      <rPr>
        <sz val="11"/>
        <rFont val="宋体"/>
        <charset val="134"/>
      </rPr>
      <t>放气组合件</t>
    </r>
    <r>
      <rPr>
        <sz val="11"/>
        <rFont val="Arial"/>
        <charset val="134"/>
      </rPr>
      <t>|TD50-24-10/TD50-24-9|304</t>
    </r>
  </si>
  <si>
    <t>广州一部</t>
  </si>
  <si>
    <t>福州源诚智能机电设备有限公司</t>
  </si>
  <si>
    <t>1400006901</t>
  </si>
  <si>
    <r>
      <t>轴套</t>
    </r>
    <r>
      <rPr>
        <sz val="11"/>
        <rFont val="Arial"/>
        <charset val="134"/>
      </rPr>
      <t>|CDL8A-06|LS30|Ф22x17.4x14</t>
    </r>
  </si>
  <si>
    <t>72</t>
  </si>
  <si>
    <t>福州一部</t>
  </si>
  <si>
    <t>1400058161</t>
  </si>
  <si>
    <r>
      <t>叶轮</t>
    </r>
    <r>
      <rPr>
        <sz val="11"/>
        <rFont val="Arial"/>
        <charset val="134"/>
      </rPr>
      <t>|CDM10-01-00|304</t>
    </r>
  </si>
  <si>
    <t>61</t>
  </si>
  <si>
    <t>1400058200</t>
  </si>
  <si>
    <r>
      <t>导流器</t>
    </r>
    <r>
      <rPr>
        <sz val="11"/>
        <rFont val="Arial"/>
        <charset val="134"/>
      </rPr>
      <t>|CDM10-02-00|304</t>
    </r>
  </si>
  <si>
    <t>83</t>
  </si>
  <si>
    <t>南阳坤赢环保科技有限公司</t>
  </si>
  <si>
    <t>1400041427</t>
  </si>
  <si>
    <r>
      <t>叶轮</t>
    </r>
    <r>
      <rPr>
        <sz val="11"/>
        <rFont val="Arial"/>
        <charset val="134"/>
      </rPr>
      <t>|SZ50-32-200SF46-L(WG)</t>
    </r>
  </si>
  <si>
    <t>833</t>
  </si>
  <si>
    <t>临汾办</t>
  </si>
  <si>
    <t>1400041483</t>
  </si>
  <si>
    <r>
      <t>机封</t>
    </r>
    <r>
      <rPr>
        <sz val="11"/>
        <rFont val="Arial"/>
        <charset val="134"/>
      </rPr>
      <t>|SZ50-32-200SF46-L(WG)</t>
    </r>
  </si>
  <si>
    <t>380</t>
  </si>
  <si>
    <t>深圳市鼎泰佳创科技有限公司</t>
  </si>
  <si>
    <t>1200052837</t>
  </si>
  <si>
    <r>
      <t>CHM1-4|SW|B34|220/380V|0.37|IE3|</t>
    </r>
    <r>
      <rPr>
        <sz val="11"/>
        <rFont val="宋体"/>
        <charset val="134"/>
      </rPr>
      <t>新轴伸</t>
    </r>
  </si>
  <si>
    <t>芜湖办</t>
  </si>
  <si>
    <t>1500136539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</si>
  <si>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CHM-15/S1B1F14|</t>
    </r>
    <r>
      <rPr>
        <sz val="11"/>
        <rFont val="宋体"/>
        <charset val="134"/>
      </rPr>
      <t>新结构</t>
    </r>
  </si>
  <si>
    <t>88</t>
  </si>
  <si>
    <t>惠州毅领智能装备有限公司</t>
  </si>
  <si>
    <t>1200018909</t>
  </si>
  <si>
    <t>CHM8-1/12-1|SW|B34|220/380|0.75|IE3</t>
  </si>
  <si>
    <t>588</t>
  </si>
  <si>
    <t>武汉一部</t>
  </si>
  <si>
    <t>1400006870</t>
  </si>
  <si>
    <r>
      <t>空套壳体</t>
    </r>
    <r>
      <rPr>
        <sz val="11"/>
        <rFont val="Arial"/>
        <charset val="134"/>
      </rPr>
      <t>|CDLK8-02-00|304</t>
    </r>
  </si>
  <si>
    <t>65</t>
  </si>
  <si>
    <t>1400008335</t>
  </si>
  <si>
    <r>
      <t>叶轮</t>
    </r>
    <r>
      <rPr>
        <sz val="11"/>
        <rFont val="Arial"/>
        <charset val="134"/>
      </rPr>
      <t>|CDL12A|CDL12-01-00|304</t>
    </r>
  </si>
  <si>
    <t>1400039044</t>
  </si>
  <si>
    <r>
      <t>出水体</t>
    </r>
    <r>
      <rPr>
        <sz val="11"/>
        <rFont val="Arial"/>
        <charset val="134"/>
      </rPr>
      <t>|CHM8-03|304</t>
    </r>
  </si>
  <si>
    <t>1400054166</t>
  </si>
  <si>
    <r>
      <t>导流器</t>
    </r>
    <r>
      <rPr>
        <sz val="11"/>
        <rFont val="Arial"/>
        <charset val="134"/>
      </rPr>
      <t>|CHM8-10-00|304</t>
    </r>
  </si>
  <si>
    <t>四川汇邦环保科技有限公司</t>
  </si>
  <si>
    <t>1500003241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</si>
  <si>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ZS-24/S2WE4</t>
    </r>
  </si>
  <si>
    <t>281</t>
  </si>
  <si>
    <t>1500015412</t>
  </si>
  <si>
    <r>
      <t>深沟球轴承</t>
    </r>
    <r>
      <rPr>
        <sz val="11"/>
        <rFont val="Arial"/>
        <charset val="134"/>
      </rPr>
      <t>|6206ZZ|NSK|C3|ENS|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</si>
  <si>
    <t>37</t>
  </si>
  <si>
    <t>安徽力诺环保工程有限公司</t>
  </si>
  <si>
    <t>1500003227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</si>
  <si>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ZS-24/WWE4|</t>
    </r>
    <r>
      <rPr>
        <sz val="11"/>
        <rFont val="宋体"/>
        <charset val="134"/>
      </rPr>
      <t>刀口机封</t>
    </r>
  </si>
  <si>
    <t>388</t>
  </si>
  <si>
    <t>淮北办</t>
  </si>
  <si>
    <t>江苏千瓦科技有限公司</t>
  </si>
  <si>
    <t>1200010523</t>
  </si>
  <si>
    <t>CDM-YE3-160L-2|SW|V1|18.5|380V|IE3</t>
  </si>
  <si>
    <t>3564</t>
  </si>
  <si>
    <t>广东天鹏建设有限公司</t>
  </si>
  <si>
    <t>珠海办</t>
  </si>
  <si>
    <t>1400007292</t>
  </si>
  <si>
    <r>
      <t>支撑隔套</t>
    </r>
    <r>
      <rPr>
        <sz val="11"/>
        <rFont val="Arial"/>
        <charset val="134"/>
      </rPr>
      <t>|CDL20-04|304|21.5x17.5x20</t>
    </r>
  </si>
  <si>
    <t>7</t>
  </si>
  <si>
    <t>1400007295</t>
  </si>
  <si>
    <r>
      <t>支撑长隔套</t>
    </r>
    <r>
      <rPr>
        <sz val="11"/>
        <rFont val="Arial"/>
        <charset val="134"/>
      </rPr>
      <t>|CDL8-00-06|304|21.5x17.5x10.12</t>
    </r>
  </si>
  <si>
    <t>4</t>
  </si>
  <si>
    <t>1400058353</t>
  </si>
  <si>
    <r>
      <t>叶轮</t>
    </r>
    <r>
      <rPr>
        <sz val="11"/>
        <rFont val="Arial"/>
        <charset val="134"/>
      </rPr>
      <t>|CDM15-01-00|304</t>
    </r>
  </si>
  <si>
    <t>1400058371</t>
  </si>
  <si>
    <r>
      <t>导流器</t>
    </r>
    <r>
      <rPr>
        <sz val="11"/>
        <rFont val="Arial"/>
        <charset val="134"/>
      </rPr>
      <t>|CDM15-02-00|304</t>
    </r>
  </si>
  <si>
    <t>1400059236</t>
  </si>
  <si>
    <r>
      <t>支撑导叶</t>
    </r>
    <r>
      <rPr>
        <sz val="11"/>
        <rFont val="Arial"/>
        <charset val="134"/>
      </rPr>
      <t>A|CDM15-04-00A|LS30|304</t>
    </r>
  </si>
  <si>
    <t>1500003472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</si>
  <si>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CDLA-16/WB1F14</t>
    </r>
  </si>
  <si>
    <t>407</t>
  </si>
  <si>
    <t>福州艾柯玛科技有限公司</t>
  </si>
  <si>
    <t>1400059248</t>
  </si>
  <si>
    <r>
      <t>导叶</t>
    </r>
    <r>
      <rPr>
        <sz val="11"/>
        <rFont val="Arial"/>
        <charset val="134"/>
      </rPr>
      <t>|CDM10-03-00|304</t>
    </r>
  </si>
  <si>
    <t>1500029996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</si>
  <si>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CHM-19/S1B1F4</t>
    </r>
  </si>
  <si>
    <t>甘肃润森投资有限公司</t>
  </si>
  <si>
    <t>1400059526</t>
  </si>
  <si>
    <r>
      <t>泵头</t>
    </r>
    <r>
      <rPr>
        <sz val="11"/>
        <rFont val="Arial"/>
        <charset val="134"/>
      </rPr>
      <t>|CDM-BT-80X181B|HT200</t>
    </r>
  </si>
  <si>
    <t>345</t>
  </si>
  <si>
    <t>1400058243</t>
  </si>
  <si>
    <r>
      <t>泵轴</t>
    </r>
    <r>
      <rPr>
        <sz val="11"/>
        <rFont val="Arial"/>
        <charset val="134"/>
      </rPr>
      <t>|CDM10-06|304|3</t>
    </r>
    <r>
      <rPr>
        <sz val="11"/>
        <rFont val="宋体"/>
        <charset val="134"/>
      </rPr>
      <t>级</t>
    </r>
    <r>
      <rPr>
        <sz val="11"/>
        <rFont val="Arial"/>
        <charset val="134"/>
      </rPr>
      <t>(212)</t>
    </r>
  </si>
  <si>
    <t>90</t>
  </si>
  <si>
    <t>410</t>
  </si>
  <si>
    <t>湖北禹洋水务工程有限公司</t>
  </si>
  <si>
    <t>武汉二部</t>
  </si>
  <si>
    <t>1400058240</t>
  </si>
  <si>
    <r>
      <t>叶轮</t>
    </r>
    <r>
      <rPr>
        <sz val="11"/>
        <rFont val="Arial"/>
        <charset val="134"/>
      </rPr>
      <t>|CDM20-01-00|304</t>
    </r>
  </si>
  <si>
    <t>140</t>
  </si>
  <si>
    <t>1400058403</t>
  </si>
  <si>
    <r>
      <t>泵轴</t>
    </r>
    <r>
      <rPr>
        <sz val="11"/>
        <rFont val="Arial"/>
        <charset val="134"/>
      </rPr>
      <t>|CDM15-06|304|14</t>
    </r>
    <r>
      <rPr>
        <sz val="11"/>
        <rFont val="宋体"/>
        <charset val="134"/>
      </rPr>
      <t>级</t>
    </r>
    <r>
      <rPr>
        <sz val="11"/>
        <rFont val="Arial"/>
        <charset val="134"/>
      </rPr>
      <t>(747)</t>
    </r>
  </si>
  <si>
    <t>565</t>
  </si>
  <si>
    <t>1400059040</t>
  </si>
  <si>
    <r>
      <t>导叶</t>
    </r>
    <r>
      <rPr>
        <sz val="11"/>
        <rFont val="Arial"/>
        <charset val="134"/>
      </rPr>
      <t>|CDM15-03-00|304</t>
    </r>
  </si>
  <si>
    <t>171</t>
  </si>
  <si>
    <t>225</t>
  </si>
  <si>
    <t>488</t>
  </si>
  <si>
    <t>易诗连</t>
  </si>
  <si>
    <t>1400033297</t>
  </si>
  <si>
    <r>
      <t>CDL</t>
    </r>
    <r>
      <rPr>
        <sz val="11"/>
        <rFont val="宋体"/>
        <charset val="134"/>
      </rPr>
      <t>内芯</t>
    </r>
    <r>
      <rPr>
        <sz val="11"/>
        <rFont val="Arial"/>
        <charset val="134"/>
      </rPr>
      <t>|32-150|304</t>
    </r>
  </si>
  <si>
    <t>5800</t>
  </si>
  <si>
    <t>宜昌办</t>
  </si>
  <si>
    <t>无锡衡力环保科技有限公司</t>
  </si>
  <si>
    <t>广州穗源环保科技有限公司</t>
  </si>
  <si>
    <t>1400013868</t>
  </si>
  <si>
    <r>
      <t>叶轮</t>
    </r>
    <r>
      <rPr>
        <sz val="11"/>
        <rFont val="Arial"/>
        <charset val="134"/>
      </rPr>
      <t>|50QY-00-02|304|ø105.5|50Hz</t>
    </r>
  </si>
  <si>
    <t>湛江办</t>
  </si>
  <si>
    <t>深圳市格瑞拓能源科技有限公司</t>
  </si>
  <si>
    <t>1400078625</t>
  </si>
  <si>
    <r>
      <t>泵体</t>
    </r>
    <r>
      <rPr>
        <sz val="11"/>
        <rFont val="Arial"/>
        <charset val="134"/>
      </rPr>
      <t>|TD100-52G-01|HT200|PN16</t>
    </r>
  </si>
  <si>
    <t>1662</t>
  </si>
  <si>
    <t>三河同飞制冷股份有限公司</t>
  </si>
  <si>
    <t>1500033389</t>
  </si>
  <si>
    <r>
      <t>深沟球轴承</t>
    </r>
    <r>
      <rPr>
        <sz val="11"/>
        <rFont val="Arial"/>
        <charset val="134"/>
      </rPr>
      <t>|6308ZZ|NSK|C3|ENS|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</si>
  <si>
    <t>80</t>
  </si>
  <si>
    <t>太原办</t>
  </si>
  <si>
    <t>常州凯顿机械设备有限公司</t>
  </si>
  <si>
    <t>1400007852</t>
  </si>
  <si>
    <r>
      <t>泵轴</t>
    </r>
    <r>
      <rPr>
        <sz val="11"/>
        <rFont val="Arial"/>
        <charset val="134"/>
      </rPr>
      <t>|CDLK16A-00-02|304|10</t>
    </r>
    <r>
      <rPr>
        <sz val="11"/>
        <rFont val="宋体"/>
        <charset val="134"/>
      </rPr>
      <t>级</t>
    </r>
    <r>
      <rPr>
        <sz val="11"/>
        <rFont val="Arial"/>
        <charset val="134"/>
      </rPr>
      <t>|Φ16</t>
    </r>
  </si>
  <si>
    <t>315</t>
  </si>
  <si>
    <t>东莞一部</t>
  </si>
  <si>
    <t>1500003679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</si>
  <si>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CDL-16/WB1F14</t>
    </r>
  </si>
  <si>
    <t>245</t>
  </si>
  <si>
    <t>上海泉尔环保设备有限公司永嘉分公司</t>
  </si>
  <si>
    <t>1400006308</t>
  </si>
  <si>
    <r>
      <t>支撑导叶</t>
    </r>
    <r>
      <rPr>
        <sz val="11"/>
        <rFont val="Arial"/>
        <charset val="134"/>
      </rPr>
      <t>|CDL32-02-00|LS30|304</t>
    </r>
  </si>
  <si>
    <t>1400006795</t>
  </si>
  <si>
    <r>
      <t>锥套</t>
    </r>
    <r>
      <rPr>
        <sz val="11"/>
        <rFont val="Arial"/>
        <charset val="134"/>
      </rPr>
      <t>|CDL32-06-06|304</t>
    </r>
  </si>
  <si>
    <t>1400006881</t>
  </si>
  <si>
    <r>
      <t>中间轴套</t>
    </r>
    <r>
      <rPr>
        <sz val="11"/>
        <rFont val="Arial"/>
        <charset val="134"/>
      </rPr>
      <t>|CDL32-05-00|304+</t>
    </r>
    <r>
      <rPr>
        <sz val="11"/>
        <rFont val="宋体"/>
        <charset val="134"/>
      </rPr>
      <t>陶瓷</t>
    </r>
  </si>
  <si>
    <t>1400007391</t>
  </si>
  <si>
    <r>
      <t>出水导叶</t>
    </r>
    <r>
      <rPr>
        <sz val="11"/>
        <rFont val="Arial"/>
        <charset val="134"/>
      </rPr>
      <t>|CDL32-04-00|304</t>
    </r>
  </si>
  <si>
    <t>308</t>
  </si>
  <si>
    <t>1400008311</t>
  </si>
  <si>
    <r>
      <t>大叶轮</t>
    </r>
    <r>
      <rPr>
        <sz val="11"/>
        <rFont val="Arial"/>
        <charset val="134"/>
      </rPr>
      <t>|CDL32-06-00A|304</t>
    </r>
  </si>
  <si>
    <t>1400009520</t>
  </si>
  <si>
    <r>
      <t>导叶</t>
    </r>
    <r>
      <rPr>
        <sz val="11"/>
        <rFont val="Arial"/>
        <charset val="134"/>
      </rPr>
      <t>|CDL32-03-00|304</t>
    </r>
  </si>
  <si>
    <t>297</t>
  </si>
  <si>
    <t>1500090681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</si>
  <si>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CDM-22/WB1F14</t>
    </r>
  </si>
  <si>
    <t>535</t>
  </si>
  <si>
    <t>广东百川清洗技术有限公司</t>
  </si>
  <si>
    <t>1500003478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</si>
  <si>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CDLA-16/WS2E4</t>
    </r>
  </si>
  <si>
    <t>611</t>
  </si>
  <si>
    <t>惠州办</t>
  </si>
  <si>
    <t>山东鸿泉盛得环保科技有限公司</t>
  </si>
  <si>
    <t>1500045433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</si>
  <si>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NISO-53/WWF14</t>
    </r>
  </si>
  <si>
    <t>948</t>
  </si>
  <si>
    <t>乌鲁木齐办</t>
  </si>
  <si>
    <t>广州利生五金机电设备有限公司</t>
  </si>
  <si>
    <t>1500043943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</si>
  <si>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TDS-28/WWE4|</t>
    </r>
    <r>
      <rPr>
        <sz val="11"/>
        <rFont val="宋体"/>
        <charset val="134"/>
      </rPr>
      <t>刀口机封</t>
    </r>
  </si>
  <si>
    <t>广州二部</t>
  </si>
  <si>
    <t>光大环保能源(陆川)有限公司</t>
  </si>
  <si>
    <t>1500003468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</si>
  <si>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CDLA-16/WS2F14</t>
    </r>
  </si>
  <si>
    <t>南宁办</t>
  </si>
  <si>
    <t>湖北朗瑞机电设备有限公司</t>
  </si>
  <si>
    <t>1400005108</t>
  </si>
  <si>
    <r>
      <t>拉带</t>
    </r>
    <r>
      <rPr>
        <sz val="11"/>
        <rFont val="Arial"/>
        <charset val="134"/>
      </rPr>
      <t>|CDL85-10|CDL85-60|563|304|6</t>
    </r>
    <r>
      <rPr>
        <sz val="11"/>
        <rFont val="宋体"/>
        <charset val="134"/>
      </rPr>
      <t>级</t>
    </r>
  </si>
  <si>
    <t>襄阳办</t>
  </si>
  <si>
    <t>1400006317</t>
  </si>
  <si>
    <r>
      <t>支撑导叶</t>
    </r>
    <r>
      <rPr>
        <sz val="11"/>
        <rFont val="Arial"/>
        <charset val="134"/>
      </rPr>
      <t>|CDL85-07-00|LS30|304</t>
    </r>
  </si>
  <si>
    <t>688</t>
  </si>
  <si>
    <t>1400006454</t>
  </si>
  <si>
    <r>
      <t>导流器</t>
    </r>
    <r>
      <rPr>
        <sz val="11"/>
        <rFont val="Arial"/>
        <charset val="134"/>
      </rPr>
      <t>|CDL85-03-00|304</t>
    </r>
  </si>
  <si>
    <t>198</t>
  </si>
  <si>
    <t>1400006807</t>
  </si>
  <si>
    <r>
      <t>压盖</t>
    </r>
    <r>
      <rPr>
        <sz val="11"/>
        <rFont val="Arial"/>
        <charset val="134"/>
      </rPr>
      <t>|CDL32-00-05|304</t>
    </r>
  </si>
  <si>
    <t>1400006848</t>
  </si>
  <si>
    <r>
      <t>支撑螺母</t>
    </r>
    <r>
      <rPr>
        <sz val="11"/>
        <rFont val="Arial"/>
        <charset val="134"/>
      </rPr>
      <t>|CDL65-14A-01|304</t>
    </r>
  </si>
  <si>
    <t>55</t>
  </si>
  <si>
    <t>1400007394</t>
  </si>
  <si>
    <r>
      <t>出水导叶</t>
    </r>
    <r>
      <rPr>
        <sz val="11"/>
        <rFont val="Arial"/>
        <charset val="134"/>
      </rPr>
      <t>|CDL85-08-00|304</t>
    </r>
  </si>
  <si>
    <t>545</t>
  </si>
  <si>
    <t>1400008323</t>
  </si>
  <si>
    <r>
      <t>大叶轮</t>
    </r>
    <r>
      <rPr>
        <sz val="11"/>
        <rFont val="Arial"/>
        <charset val="134"/>
      </rPr>
      <t>|CDL85-11A-00|304</t>
    </r>
  </si>
  <si>
    <t>347</t>
  </si>
  <si>
    <t>1400008391</t>
  </si>
  <si>
    <r>
      <t>支撑大叶轮</t>
    </r>
    <r>
      <rPr>
        <sz val="11"/>
        <rFont val="Arial"/>
        <charset val="134"/>
      </rPr>
      <t>|CDL85-12A-00|304</t>
    </r>
  </si>
  <si>
    <t>1400009523</t>
  </si>
  <si>
    <r>
      <t>导叶</t>
    </r>
    <r>
      <rPr>
        <sz val="11"/>
        <rFont val="Arial"/>
        <charset val="134"/>
      </rPr>
      <t>|CDL85-06-00|304</t>
    </r>
  </si>
  <si>
    <t>523</t>
  </si>
  <si>
    <t>1400035462</t>
  </si>
  <si>
    <r>
      <t>平垫圈</t>
    </r>
    <r>
      <rPr>
        <sz val="11"/>
        <rFont val="Arial"/>
        <charset val="134"/>
      </rPr>
      <t>|NZP-01|M8|304</t>
    </r>
  </si>
  <si>
    <t>2</t>
  </si>
  <si>
    <t>1400081032</t>
  </si>
  <si>
    <r>
      <t>泵轴</t>
    </r>
    <r>
      <rPr>
        <sz val="11"/>
        <rFont val="Arial"/>
        <charset val="134"/>
      </rPr>
      <t>|CDM85-02|431|6</t>
    </r>
    <r>
      <rPr>
        <sz val="11"/>
        <rFont val="宋体"/>
        <charset val="134"/>
      </rPr>
      <t>级</t>
    </r>
    <r>
      <rPr>
        <sz val="11"/>
        <rFont val="Arial"/>
        <charset val="134"/>
      </rPr>
      <t>|750</t>
    </r>
  </si>
  <si>
    <t>655</t>
  </si>
  <si>
    <t>1500005565</t>
  </si>
  <si>
    <r>
      <t>内六角圆柱头螺钉</t>
    </r>
    <r>
      <rPr>
        <sz val="11"/>
        <rFont val="Arial"/>
        <charset val="134"/>
      </rPr>
      <t>|M8X16</t>
    </r>
    <r>
      <rPr>
        <sz val="11"/>
        <rFont val="宋体"/>
        <charset val="134"/>
      </rPr>
      <t>左旋</t>
    </r>
    <r>
      <rPr>
        <sz val="11"/>
        <rFont val="Arial"/>
        <charset val="134"/>
      </rPr>
      <t>A2-70|GB/T70.1(DIN912)</t>
    </r>
  </si>
  <si>
    <t>1500005609</t>
  </si>
  <si>
    <r>
      <t>内六角圆柱头螺钉</t>
    </r>
    <r>
      <rPr>
        <sz val="11"/>
        <rFont val="Arial"/>
        <charset val="134"/>
      </rPr>
      <t>|M8X30|A2-70|GB/T70.1(DIN912)</t>
    </r>
  </si>
  <si>
    <t>苏州诺津环保科技有限公司</t>
  </si>
  <si>
    <t>1400115568</t>
  </si>
  <si>
    <r>
      <t>叶轮</t>
    </r>
    <r>
      <rPr>
        <sz val="11"/>
        <rFont val="Arial"/>
        <charset val="134"/>
      </rPr>
      <t>|65ZW25-30-02|HT200</t>
    </r>
  </si>
  <si>
    <t>220</t>
  </si>
  <si>
    <t>郑州一部</t>
  </si>
  <si>
    <t>无锡市冠球环保科技有限公司</t>
  </si>
  <si>
    <t>1500138290</t>
  </si>
  <si>
    <r>
      <t>机械密封</t>
    </r>
    <r>
      <rPr>
        <sz val="11"/>
        <rFont val="Arial"/>
        <charset val="134"/>
      </rPr>
      <t>|WQ-19|</t>
    </r>
    <r>
      <rPr>
        <sz val="11"/>
        <rFont val="宋体"/>
        <charset val="134"/>
      </rPr>
      <t>碳化硅</t>
    </r>
    <r>
      <rPr>
        <sz val="11"/>
        <rFont val="Arial"/>
        <charset val="134"/>
      </rPr>
      <t>/</t>
    </r>
    <r>
      <rPr>
        <sz val="11"/>
        <rFont val="宋体"/>
        <charset val="134"/>
      </rPr>
      <t>碳化硅</t>
    </r>
    <r>
      <rPr>
        <sz val="11"/>
        <rFont val="Arial"/>
        <charset val="134"/>
      </rPr>
      <t>+</t>
    </r>
    <r>
      <rPr>
        <sz val="11"/>
        <rFont val="宋体"/>
        <charset val="134"/>
      </rPr>
      <t>碳化硅</t>
    </r>
    <r>
      <rPr>
        <sz val="11"/>
        <rFont val="Arial"/>
        <charset val="134"/>
      </rPr>
      <t>/</t>
    </r>
    <r>
      <rPr>
        <sz val="11"/>
        <rFont val="宋体"/>
        <charset val="134"/>
      </rPr>
      <t>碳化硅</t>
    </r>
    <r>
      <rPr>
        <sz val="11"/>
        <rFont val="Arial"/>
        <charset val="134"/>
      </rPr>
      <t>|F</t>
    </r>
  </si>
  <si>
    <t>243</t>
  </si>
  <si>
    <t>江西本道科技有限公司</t>
  </si>
  <si>
    <t>1400117472</t>
  </si>
  <si>
    <r>
      <t>电缆组</t>
    </r>
    <r>
      <rPr>
        <sz val="11"/>
        <rFont val="Arial"/>
        <charset val="134"/>
      </rPr>
      <t>|LB</t>
    </r>
    <r>
      <rPr>
        <sz val="11"/>
        <rFont val="宋体"/>
        <charset val="134"/>
      </rPr>
      <t>座</t>
    </r>
    <r>
      <rPr>
        <sz val="11"/>
        <rFont val="Arial"/>
        <charset val="134"/>
      </rPr>
      <t>|YZW-4Cx0.75SQx9M|YD|</t>
    </r>
    <r>
      <rPr>
        <sz val="11"/>
        <rFont val="宋体"/>
        <charset val="134"/>
      </rPr>
      <t>中文</t>
    </r>
  </si>
  <si>
    <t>97</t>
  </si>
  <si>
    <t>天津市信晟智能科技有限公司</t>
  </si>
  <si>
    <t>1500003414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</si>
  <si>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TD5-55/BS1E4</t>
    </r>
  </si>
  <si>
    <t>1132</t>
  </si>
  <si>
    <t>绵阳办</t>
  </si>
  <si>
    <t>柯泠机电科技(上海)有限公司</t>
  </si>
  <si>
    <t>1500004294</t>
  </si>
  <si>
    <r>
      <t>深沟球轴承</t>
    </r>
    <r>
      <rPr>
        <sz val="11"/>
        <rFont val="Arial"/>
        <charset val="134"/>
      </rPr>
      <t>|6311ZZ|NSK|C3|ENS|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  <r>
      <rPr>
        <sz val="11"/>
        <rFont val="Arial"/>
        <charset val="134"/>
      </rPr>
      <t>(TT)</t>
    </r>
  </si>
  <si>
    <t>重庆二部</t>
  </si>
  <si>
    <t>1500010464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</si>
  <si>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TD-28/BS1E4</t>
    </r>
  </si>
  <si>
    <t>242</t>
  </si>
  <si>
    <t>广州好力机电设备工程有限公司</t>
  </si>
  <si>
    <t>1500003961</t>
  </si>
  <si>
    <r>
      <t>316L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CDLA-16/WS2E6</t>
    </r>
  </si>
  <si>
    <t>592</t>
  </si>
  <si>
    <t>北京沃奇新德山水科技有限公司</t>
  </si>
  <si>
    <t>1500003429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</si>
  <si>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CDLA-12/WB1F14</t>
    </r>
  </si>
  <si>
    <t>徐州苏美克涂装设备有限公司</t>
  </si>
  <si>
    <t>合肥办</t>
  </si>
  <si>
    <t>江苏天铖环保技术有限公司</t>
  </si>
  <si>
    <t>1500003727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</si>
  <si>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NISO-43/WWE4</t>
    </r>
  </si>
  <si>
    <t>477</t>
  </si>
  <si>
    <t>岳阳办</t>
  </si>
  <si>
    <t>浙江美亚环境工程有限公司</t>
  </si>
  <si>
    <t>泊头市畅宇泵业制造有限公司</t>
  </si>
  <si>
    <t>延安永东工贸有限公司</t>
  </si>
  <si>
    <t>1400002548</t>
  </si>
  <si>
    <r>
      <t>泵体</t>
    </r>
    <r>
      <rPr>
        <sz val="11"/>
        <rFont val="Arial"/>
        <charset val="134"/>
      </rPr>
      <t>|TD65-34G-01|HT200|PN16</t>
    </r>
  </si>
  <si>
    <t>887</t>
  </si>
  <si>
    <t>延安办</t>
  </si>
  <si>
    <t>广东赛宏精密清洗装备有限公司</t>
  </si>
  <si>
    <t>1500004249</t>
  </si>
  <si>
    <r>
      <t>深沟球轴承</t>
    </r>
    <r>
      <rPr>
        <sz val="11"/>
        <rFont val="Arial"/>
        <charset val="134"/>
      </rPr>
      <t>|6205ZZ</t>
    </r>
  </si>
  <si>
    <t>31</t>
  </si>
  <si>
    <t>1500004275</t>
  </si>
  <si>
    <r>
      <t>深沟球轴承</t>
    </r>
    <r>
      <rPr>
        <sz val="11"/>
        <rFont val="Arial"/>
        <charset val="134"/>
      </rPr>
      <t>|6305ZZ</t>
    </r>
  </si>
  <si>
    <t>38</t>
  </si>
  <si>
    <t>洛阳热力集团有限公司</t>
  </si>
  <si>
    <t>兰州名扬水泵机电设备有限公司</t>
  </si>
  <si>
    <t>珠海海神智能科技有限公司</t>
  </si>
  <si>
    <t>1500041429</t>
  </si>
  <si>
    <r>
      <t>316L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CDLA-22/WSF16|</t>
    </r>
    <r>
      <rPr>
        <sz val="11"/>
        <rFont val="宋体"/>
        <charset val="134"/>
      </rPr>
      <t>刀口机封</t>
    </r>
    <r>
      <rPr>
        <sz val="11"/>
        <rFont val="Arial"/>
        <charset val="134"/>
      </rPr>
      <t>(TT)</t>
    </r>
  </si>
  <si>
    <t>854</t>
  </si>
  <si>
    <t>青海辉熠商贸有限公司</t>
  </si>
  <si>
    <t>1400003334</t>
  </si>
  <si>
    <r>
      <t>叶轮</t>
    </r>
    <r>
      <rPr>
        <sz val="11"/>
        <rFont val="Arial"/>
        <charset val="134"/>
      </rPr>
      <t>|TD100-33-02|HT200|φ170|50HZ</t>
    </r>
    <r>
      <rPr>
        <sz val="11"/>
        <rFont val="宋体"/>
        <charset val="134"/>
      </rPr>
      <t>原配</t>
    </r>
  </si>
  <si>
    <t>146</t>
  </si>
  <si>
    <t>惠州绿之源环保科技有限公司</t>
  </si>
  <si>
    <t>重庆三部</t>
  </si>
  <si>
    <t>合肥飞耳机电有限公司</t>
  </si>
  <si>
    <t>1400203908</t>
  </si>
  <si>
    <r>
      <t>进出水段</t>
    </r>
    <r>
      <rPr>
        <sz val="11"/>
        <rFont val="Arial"/>
        <charset val="134"/>
      </rPr>
      <t>|CHM3-08-00|CHM1-80/3-80|304|</t>
    </r>
    <r>
      <rPr>
        <sz val="11"/>
        <rFont val="宋体"/>
        <charset val="134"/>
      </rPr>
      <t>新</t>
    </r>
  </si>
  <si>
    <t>236</t>
  </si>
  <si>
    <t>江苏彬鹏环保有限公司</t>
  </si>
  <si>
    <t>安阳办</t>
  </si>
  <si>
    <t>江苏荣亿达温控科技有限公司</t>
  </si>
  <si>
    <t>1500094882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</si>
  <si>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CHL-16B/S2WE4</t>
    </r>
  </si>
  <si>
    <t>132</t>
  </si>
  <si>
    <t>安徽裕满智能装备有限公司</t>
  </si>
  <si>
    <t>阜阳办</t>
  </si>
  <si>
    <t>珠海汇科环境科技有限公司</t>
  </si>
  <si>
    <t>1500105355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</si>
  <si>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ZS-24/BSE14</t>
    </r>
  </si>
  <si>
    <t>235</t>
  </si>
  <si>
    <t>1400002943</t>
  </si>
  <si>
    <r>
      <t>叶轮</t>
    </r>
    <r>
      <rPr>
        <sz val="11"/>
        <rFont val="Arial"/>
        <charset val="134"/>
      </rPr>
      <t>|TD65-50|304|φ202|50HZ</t>
    </r>
    <r>
      <rPr>
        <sz val="11"/>
        <rFont val="宋体"/>
        <charset val="134"/>
      </rPr>
      <t>原配</t>
    </r>
  </si>
  <si>
    <t>943</t>
  </si>
  <si>
    <t>湖南钜宏科技有限公司</t>
  </si>
  <si>
    <t>长沙四部</t>
  </si>
  <si>
    <t>深圳市南方祥运机电设备有限公司</t>
  </si>
  <si>
    <t>1500003167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</si>
  <si>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CHL-20/B1S1F4</t>
    </r>
  </si>
  <si>
    <t>西安美能环保科技有限公司</t>
  </si>
  <si>
    <t>西安二部</t>
  </si>
  <si>
    <t>华新医材(安徽)有限公司</t>
  </si>
  <si>
    <t>宣城办</t>
  </si>
  <si>
    <t>四川北禹机电设备有限公司</t>
  </si>
  <si>
    <t>大同王文龙</t>
  </si>
  <si>
    <t>534</t>
  </si>
  <si>
    <t>大同办</t>
  </si>
  <si>
    <t>1500003514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</si>
  <si>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CDLA-22/WB1F14</t>
    </r>
  </si>
  <si>
    <t>820</t>
  </si>
  <si>
    <t>贵阳民禾乐水设备有限公司</t>
  </si>
  <si>
    <t>450</t>
  </si>
  <si>
    <t>贵阳办</t>
  </si>
  <si>
    <t>600</t>
  </si>
  <si>
    <t>甘肃润锦节能设备有限责任公司</t>
  </si>
  <si>
    <t>1400006311</t>
  </si>
  <si>
    <r>
      <t>支撑导叶</t>
    </r>
    <r>
      <rPr>
        <sz val="11"/>
        <rFont val="Arial"/>
        <charset val="134"/>
      </rPr>
      <t>|CDL42-08-00|LS30|304</t>
    </r>
  </si>
  <si>
    <t>429</t>
  </si>
  <si>
    <t>1400080864</t>
  </si>
  <si>
    <r>
      <t>支架</t>
    </r>
    <r>
      <rPr>
        <sz val="11"/>
        <rFont val="Arial"/>
        <charset val="134"/>
      </rPr>
      <t>|CDM-ZJ-250X160|HT200</t>
    </r>
  </si>
  <si>
    <t>601</t>
  </si>
  <si>
    <t>贵州天匠劳务有限公司</t>
  </si>
  <si>
    <t>肇庆鼎湖怡碧山泉有限公司</t>
  </si>
  <si>
    <t>1500003605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</si>
  <si>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QY-17/SSE4(TT)</t>
    </r>
  </si>
  <si>
    <t>286</t>
  </si>
  <si>
    <t>清远办</t>
  </si>
  <si>
    <t>浙江格盟环境科技有限公司</t>
  </si>
  <si>
    <t>1500003434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</si>
  <si>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CDLA-12/WSF14</t>
    </r>
  </si>
  <si>
    <t>465</t>
  </si>
  <si>
    <t>江苏九天高科技股份有限公司</t>
  </si>
  <si>
    <t>555</t>
  </si>
  <si>
    <t>重庆一部</t>
  </si>
  <si>
    <t>江苏壹善实业发展有限公司</t>
  </si>
  <si>
    <t>1500003205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</si>
  <si>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CHL-16/SWE4</t>
    </r>
  </si>
  <si>
    <t>长沙之鸣自动化设备有限公司</t>
  </si>
  <si>
    <t>8</t>
  </si>
  <si>
    <t>长沙二部</t>
  </si>
  <si>
    <t>成都新威能源有限公司</t>
  </si>
  <si>
    <t>1400003327</t>
  </si>
  <si>
    <r>
      <t>叶轮</t>
    </r>
    <r>
      <rPr>
        <sz val="11"/>
        <rFont val="Arial"/>
        <charset val="134"/>
      </rPr>
      <t>|TD100-17-01|HT200|φ134|50HZ</t>
    </r>
    <r>
      <rPr>
        <sz val="11"/>
        <rFont val="宋体"/>
        <charset val="134"/>
      </rPr>
      <t>原配</t>
    </r>
  </si>
  <si>
    <t>154</t>
  </si>
  <si>
    <t>成都一部</t>
  </si>
  <si>
    <t>1400003333</t>
  </si>
  <si>
    <r>
      <t>叶轮</t>
    </r>
    <r>
      <rPr>
        <sz val="11"/>
        <rFont val="Arial"/>
        <charset val="134"/>
      </rPr>
      <t>|TD100-27-01|HT200|φ157|50HZ</t>
    </r>
    <r>
      <rPr>
        <sz val="11"/>
        <rFont val="宋体"/>
        <charset val="134"/>
      </rPr>
      <t>原配</t>
    </r>
  </si>
  <si>
    <t>1400003563</t>
  </si>
  <si>
    <r>
      <t>叶轮</t>
    </r>
    <r>
      <rPr>
        <sz val="11"/>
        <rFont val="Arial"/>
        <charset val="134"/>
      </rPr>
      <t>|TD50-28G-03|HT200|φ150|50HZ</t>
    </r>
    <r>
      <rPr>
        <sz val="11"/>
        <rFont val="宋体"/>
        <charset val="134"/>
      </rPr>
      <t>原配</t>
    </r>
  </si>
  <si>
    <t>1400003567</t>
  </si>
  <si>
    <r>
      <t>叶轮</t>
    </r>
    <r>
      <rPr>
        <sz val="11"/>
        <rFont val="Arial"/>
        <charset val="134"/>
      </rPr>
      <t>|TD80-18G-01|HT200|φ134|50HZ</t>
    </r>
    <r>
      <rPr>
        <sz val="11"/>
        <rFont val="宋体"/>
        <charset val="134"/>
      </rPr>
      <t>原配</t>
    </r>
  </si>
  <si>
    <t>145</t>
  </si>
  <si>
    <t>1400006899</t>
  </si>
  <si>
    <r>
      <t>轴套</t>
    </r>
    <r>
      <rPr>
        <sz val="11"/>
        <rFont val="Arial"/>
        <charset val="134"/>
      </rPr>
      <t>|CDL2A-05|LS30|Ф16x12.6x10.5</t>
    </r>
  </si>
  <si>
    <t>50</t>
  </si>
  <si>
    <t>1400007401</t>
  </si>
  <si>
    <r>
      <t>出水导叶</t>
    </r>
    <r>
      <rPr>
        <sz val="11"/>
        <rFont val="Arial"/>
        <charset val="134"/>
      </rPr>
      <t>|CDL85-08-00|316L</t>
    </r>
  </si>
  <si>
    <t>818</t>
  </si>
  <si>
    <t>1400008364</t>
  </si>
  <si>
    <r>
      <t>大叶轮</t>
    </r>
    <r>
      <rPr>
        <sz val="11"/>
        <rFont val="Arial"/>
        <charset val="134"/>
      </rPr>
      <t>|CDL85-11A-00|316L</t>
    </r>
  </si>
  <si>
    <t>521</t>
  </si>
  <si>
    <t>1400009392</t>
  </si>
  <si>
    <r>
      <t>导叶</t>
    </r>
    <r>
      <rPr>
        <sz val="11"/>
        <rFont val="Arial"/>
        <charset val="134"/>
      </rPr>
      <t>|CDL85-06-00|316L</t>
    </r>
  </si>
  <si>
    <t>785</t>
  </si>
  <si>
    <t>1400058212</t>
  </si>
  <si>
    <r>
      <t>出水导叶</t>
    </r>
    <r>
      <rPr>
        <sz val="11"/>
        <rFont val="Arial"/>
        <charset val="134"/>
      </rPr>
      <t>A|CDM10-05-00A|304</t>
    </r>
  </si>
  <si>
    <t>1400059240</t>
  </si>
  <si>
    <r>
      <t>支撑导叶</t>
    </r>
    <r>
      <rPr>
        <sz val="11"/>
        <rFont val="Arial"/>
        <charset val="134"/>
      </rPr>
      <t>A|CDM10-04-00A|LS30|304</t>
    </r>
  </si>
  <si>
    <t>121</t>
  </si>
  <si>
    <t>成都市创鼎环保设备有限公司</t>
  </si>
  <si>
    <t>1400095474</t>
  </si>
  <si>
    <r>
      <t>CDM</t>
    </r>
    <r>
      <rPr>
        <sz val="11"/>
        <rFont val="宋体"/>
        <charset val="134"/>
      </rPr>
      <t>内芯</t>
    </r>
    <r>
      <rPr>
        <sz val="11"/>
        <rFont val="Arial"/>
        <charset val="134"/>
      </rPr>
      <t>|20-3|316L</t>
    </r>
  </si>
  <si>
    <t>2720</t>
  </si>
  <si>
    <t>780</t>
  </si>
  <si>
    <t>河北雄安司淼环保科技有限公司</t>
  </si>
  <si>
    <t>重庆耀辉环保有限公司</t>
  </si>
  <si>
    <t>甘肃南方智水环境工程有限公司</t>
  </si>
  <si>
    <t>250</t>
  </si>
  <si>
    <t>厦门柯拓机电设备有限公司</t>
  </si>
  <si>
    <t>324</t>
  </si>
  <si>
    <t>厦门办</t>
  </si>
  <si>
    <t>重庆申渝橡胶有限公司</t>
  </si>
  <si>
    <t>1400058579</t>
  </si>
  <si>
    <r>
      <t>导流器</t>
    </r>
    <r>
      <rPr>
        <sz val="11"/>
        <rFont val="Arial"/>
        <charset val="134"/>
      </rPr>
      <t>|CDM3-02-00|304</t>
    </r>
  </si>
  <si>
    <t>40</t>
  </si>
  <si>
    <t>1400058626</t>
  </si>
  <si>
    <r>
      <t>出水导叶</t>
    </r>
    <r>
      <rPr>
        <sz val="11"/>
        <rFont val="Arial"/>
        <charset val="134"/>
      </rPr>
      <t>|CDM3-05-00|304</t>
    </r>
  </si>
  <si>
    <t>45</t>
  </si>
  <si>
    <t>1400058628</t>
  </si>
  <si>
    <r>
      <t>导叶</t>
    </r>
    <r>
      <rPr>
        <sz val="11"/>
        <rFont val="Arial"/>
        <charset val="134"/>
      </rPr>
      <t>|CDM3-03-00|304</t>
    </r>
  </si>
  <si>
    <t>1400058630</t>
  </si>
  <si>
    <r>
      <t>支撑导叶</t>
    </r>
    <r>
      <rPr>
        <sz val="11"/>
        <rFont val="Arial"/>
        <charset val="134"/>
      </rPr>
      <t>A|CDM3-04-00A|LS30|304</t>
    </r>
  </si>
  <si>
    <t>85</t>
  </si>
  <si>
    <t>重庆汇贤优策科技有限公司</t>
  </si>
  <si>
    <t>南昌二部</t>
  </si>
  <si>
    <t>宁夏浙达商贸有限公司</t>
  </si>
  <si>
    <t>1400007260</t>
  </si>
  <si>
    <r>
      <t>卡环套</t>
    </r>
    <r>
      <rPr>
        <sz val="11"/>
        <rFont val="Arial"/>
        <charset val="134"/>
      </rPr>
      <t>|CDL2A-03|304</t>
    </r>
  </si>
  <si>
    <t>银川办</t>
  </si>
  <si>
    <t>1400007388</t>
  </si>
  <si>
    <r>
      <t>出水导叶</t>
    </r>
    <r>
      <rPr>
        <sz val="11"/>
        <rFont val="Arial"/>
        <charset val="134"/>
      </rPr>
      <t>|CDL4-01-00|304</t>
    </r>
  </si>
  <si>
    <t>42</t>
  </si>
  <si>
    <t>1400007694</t>
  </si>
  <si>
    <r>
      <t>泵轴</t>
    </r>
    <r>
      <rPr>
        <sz val="11"/>
        <rFont val="Arial"/>
        <charset val="134"/>
      </rPr>
      <t>|CDL4A-16|304|16</t>
    </r>
    <r>
      <rPr>
        <sz val="11"/>
        <rFont val="宋体"/>
        <charset val="134"/>
      </rPr>
      <t>级</t>
    </r>
    <r>
      <rPr>
        <sz val="11"/>
        <rFont val="Arial"/>
        <charset val="134"/>
      </rPr>
      <t>|Φ12|</t>
    </r>
    <r>
      <rPr>
        <sz val="11"/>
        <rFont val="宋体"/>
        <charset val="134"/>
      </rPr>
      <t>高</t>
    </r>
    <r>
      <rPr>
        <sz val="11"/>
        <rFont val="Arial"/>
        <charset val="134"/>
      </rPr>
      <t>534</t>
    </r>
  </si>
  <si>
    <t>304</t>
  </si>
  <si>
    <t>1400008330</t>
  </si>
  <si>
    <r>
      <t>叶轮</t>
    </r>
    <r>
      <rPr>
        <sz val="11"/>
        <rFont val="Arial"/>
        <charset val="134"/>
      </rPr>
      <t>|CDL4A-03-00|304</t>
    </r>
  </si>
  <si>
    <t>36</t>
  </si>
  <si>
    <t>江西海纳机械有限公司</t>
  </si>
  <si>
    <t>1500049040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</si>
  <si>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TDS-28/S2WE4|</t>
    </r>
    <r>
      <rPr>
        <sz val="11"/>
        <rFont val="宋体"/>
        <charset val="134"/>
      </rPr>
      <t>刀口机封</t>
    </r>
  </si>
  <si>
    <t>363</t>
  </si>
  <si>
    <t>江西巴顿环保科技有限公司</t>
  </si>
  <si>
    <t>1400005313</t>
  </si>
  <si>
    <r>
      <t>拉带</t>
    </r>
    <r>
      <rPr>
        <sz val="11"/>
        <rFont val="Arial"/>
        <charset val="134"/>
      </rPr>
      <t>|CDL42-13|CDL42-70|569|316L|7</t>
    </r>
    <r>
      <rPr>
        <sz val="11"/>
        <rFont val="宋体"/>
        <charset val="134"/>
      </rPr>
      <t>级</t>
    </r>
  </si>
  <si>
    <t>南昌一部</t>
  </si>
  <si>
    <t>1400006368</t>
  </si>
  <si>
    <r>
      <t>支撑导叶</t>
    </r>
    <r>
      <rPr>
        <sz val="11"/>
        <rFont val="Arial"/>
        <charset val="134"/>
      </rPr>
      <t>|CDL42-08-00|LS30|316L</t>
    </r>
  </si>
  <si>
    <t>644</t>
  </si>
  <si>
    <t>1400006475</t>
  </si>
  <si>
    <r>
      <t>导流器</t>
    </r>
    <r>
      <rPr>
        <sz val="11"/>
        <rFont val="Arial"/>
        <charset val="134"/>
      </rPr>
      <t>|CDL42-05-00|316L</t>
    </r>
  </si>
  <si>
    <t>1400006796</t>
  </si>
  <si>
    <r>
      <t>锥套</t>
    </r>
    <r>
      <rPr>
        <sz val="11"/>
        <rFont val="Arial"/>
        <charset val="134"/>
      </rPr>
      <t>|CDL32-06-06|316L</t>
    </r>
  </si>
  <si>
    <t>20</t>
  </si>
  <si>
    <t>1400006810</t>
  </si>
  <si>
    <r>
      <t>压盖</t>
    </r>
    <r>
      <rPr>
        <sz val="11"/>
        <rFont val="Arial"/>
        <charset val="134"/>
      </rPr>
      <t>|CDL32-00-05|316L</t>
    </r>
  </si>
  <si>
    <t>1400006852</t>
  </si>
  <si>
    <r>
      <t>支撑螺母</t>
    </r>
    <r>
      <rPr>
        <sz val="11"/>
        <rFont val="Arial"/>
        <charset val="134"/>
      </rPr>
      <t>|CDL42-15A-01|316L</t>
    </r>
  </si>
  <si>
    <t>1400006882</t>
  </si>
  <si>
    <r>
      <t>中间轴套</t>
    </r>
    <r>
      <rPr>
        <sz val="11"/>
        <rFont val="Arial"/>
        <charset val="134"/>
      </rPr>
      <t>|CDL32-05-00|316L+</t>
    </r>
    <r>
      <rPr>
        <sz val="11"/>
        <rFont val="宋体"/>
        <charset val="134"/>
      </rPr>
      <t>陶瓷</t>
    </r>
  </si>
  <si>
    <t>1400007399</t>
  </si>
  <si>
    <r>
      <t>出水导叶</t>
    </r>
    <r>
      <rPr>
        <sz val="11"/>
        <rFont val="Arial"/>
        <charset val="134"/>
      </rPr>
      <t>|CDL42-10-00|316L</t>
    </r>
  </si>
  <si>
    <t>495</t>
  </si>
  <si>
    <t>1400008356</t>
  </si>
  <si>
    <r>
      <t>大叶轮</t>
    </r>
    <r>
      <rPr>
        <sz val="11"/>
        <rFont val="Arial"/>
        <charset val="134"/>
      </rPr>
      <t>|CDL42-14A-00|316L</t>
    </r>
  </si>
  <si>
    <t>1400009388</t>
  </si>
  <si>
    <r>
      <t>导叶</t>
    </r>
    <r>
      <rPr>
        <sz val="11"/>
        <rFont val="Arial"/>
        <charset val="134"/>
      </rPr>
      <t>|CDL42-09-00|316L</t>
    </r>
  </si>
  <si>
    <t>479</t>
  </si>
  <si>
    <t>1400080836</t>
  </si>
  <si>
    <r>
      <t>泵轴</t>
    </r>
    <r>
      <rPr>
        <sz val="11"/>
        <rFont val="Arial"/>
        <charset val="134"/>
      </rPr>
      <t>|CDM42-02|2205|7</t>
    </r>
    <r>
      <rPr>
        <sz val="11"/>
        <rFont val="宋体"/>
        <charset val="134"/>
      </rPr>
      <t>级</t>
    </r>
    <r>
      <rPr>
        <sz val="11"/>
        <rFont val="Arial"/>
        <charset val="134"/>
      </rPr>
      <t>|758</t>
    </r>
  </si>
  <si>
    <t>1333</t>
  </si>
  <si>
    <t>1500005566</t>
  </si>
  <si>
    <r>
      <t>内六角圆柱头螺钉</t>
    </r>
    <r>
      <rPr>
        <sz val="11"/>
        <rFont val="Arial"/>
        <charset val="134"/>
      </rPr>
      <t>|M8X16|</t>
    </r>
    <r>
      <rPr>
        <sz val="11"/>
        <rFont val="宋体"/>
        <charset val="134"/>
      </rPr>
      <t>左旋</t>
    </r>
    <r>
      <rPr>
        <sz val="11"/>
        <rFont val="Arial"/>
        <charset val="134"/>
      </rPr>
      <t>,A4-80|GB/T70.1</t>
    </r>
  </si>
  <si>
    <t>1500005632</t>
  </si>
  <si>
    <r>
      <t>内六角圆柱头螺钉</t>
    </r>
    <r>
      <rPr>
        <sz val="11"/>
        <rFont val="Arial"/>
        <charset val="134"/>
      </rPr>
      <t>|M8X30|A4-80|GB/T70.1</t>
    </r>
  </si>
  <si>
    <t>5</t>
  </si>
  <si>
    <t>1500005921</t>
  </si>
  <si>
    <r>
      <t>平垫圈</t>
    </r>
    <r>
      <rPr>
        <sz val="11"/>
        <rFont val="Arial"/>
        <charset val="134"/>
      </rPr>
      <t>|8|316|DIN125</t>
    </r>
  </si>
  <si>
    <t>1400005325</t>
  </si>
  <si>
    <r>
      <t>拉带</t>
    </r>
    <r>
      <rPr>
        <sz val="11"/>
        <rFont val="Arial"/>
        <charset val="134"/>
      </rPr>
      <t>|CDL65-12|CDL65-60|508|316L|6</t>
    </r>
    <r>
      <rPr>
        <sz val="11"/>
        <rFont val="宋体"/>
        <charset val="134"/>
      </rPr>
      <t>级</t>
    </r>
  </si>
  <si>
    <t>35</t>
  </si>
  <si>
    <t>1400005327</t>
  </si>
  <si>
    <r>
      <t>拉带</t>
    </r>
    <r>
      <rPr>
        <sz val="11"/>
        <rFont val="Arial"/>
        <charset val="134"/>
      </rPr>
      <t>|CDL65-12|CDL65-80|674|316L|8</t>
    </r>
    <r>
      <rPr>
        <sz val="11"/>
        <rFont val="宋体"/>
        <charset val="134"/>
      </rPr>
      <t>级</t>
    </r>
  </si>
  <si>
    <t>1400006371</t>
  </si>
  <si>
    <r>
      <t>支撑导叶</t>
    </r>
    <r>
      <rPr>
        <sz val="11"/>
        <rFont val="Arial"/>
        <charset val="134"/>
      </rPr>
      <t>|CDL65-09-00|LS30|316L</t>
    </r>
  </si>
  <si>
    <t>858</t>
  </si>
  <si>
    <t>1400006476</t>
  </si>
  <si>
    <r>
      <t>导流器</t>
    </r>
    <r>
      <rPr>
        <sz val="11"/>
        <rFont val="Arial"/>
        <charset val="134"/>
      </rPr>
      <t>|CDL65-05-00|316L</t>
    </r>
  </si>
  <si>
    <t>264</t>
  </si>
  <si>
    <t>1400006853</t>
  </si>
  <si>
    <r>
      <t>支撑螺母</t>
    </r>
    <r>
      <rPr>
        <sz val="11"/>
        <rFont val="Arial"/>
        <charset val="134"/>
      </rPr>
      <t>|CDL65-14A-01|316L</t>
    </r>
  </si>
  <si>
    <t>19</t>
  </si>
  <si>
    <t>1400007400</t>
  </si>
  <si>
    <r>
      <t>出水导叶</t>
    </r>
    <r>
      <rPr>
        <sz val="11"/>
        <rFont val="Arial"/>
        <charset val="134"/>
      </rPr>
      <t>|CDL65-10-00|316L</t>
    </r>
  </si>
  <si>
    <t>603</t>
  </si>
  <si>
    <t>1400008360</t>
  </si>
  <si>
    <r>
      <t>大叶轮</t>
    </r>
    <r>
      <rPr>
        <sz val="11"/>
        <rFont val="Arial"/>
        <charset val="134"/>
      </rPr>
      <t>|CDL65-13A-00|316L</t>
    </r>
  </si>
  <si>
    <t>446</t>
  </si>
  <si>
    <t>1400008361</t>
  </si>
  <si>
    <r>
      <t>小叶轮</t>
    </r>
    <r>
      <rPr>
        <sz val="11"/>
        <rFont val="Arial"/>
        <charset val="134"/>
      </rPr>
      <t>|CDL65-13B-00|316L</t>
    </r>
  </si>
  <si>
    <t>1400009390</t>
  </si>
  <si>
    <r>
      <t>导叶</t>
    </r>
    <r>
      <rPr>
        <sz val="11"/>
        <rFont val="Arial"/>
        <charset val="134"/>
      </rPr>
      <t>|CDL65-08-00|316L</t>
    </r>
  </si>
  <si>
    <t>570</t>
  </si>
  <si>
    <t>1400081058</t>
  </si>
  <si>
    <r>
      <t>泵轴</t>
    </r>
    <r>
      <rPr>
        <sz val="11"/>
        <rFont val="Arial"/>
        <charset val="134"/>
      </rPr>
      <t>|CDM65-02|2205|6</t>
    </r>
    <r>
      <rPr>
        <sz val="11"/>
        <rFont val="宋体"/>
        <charset val="134"/>
      </rPr>
      <t>级</t>
    </r>
    <r>
      <rPr>
        <sz val="11"/>
        <rFont val="Arial"/>
        <charset val="134"/>
      </rPr>
      <t>|695</t>
    </r>
  </si>
  <si>
    <t>1448</t>
  </si>
  <si>
    <t>1400081060</t>
  </si>
  <si>
    <r>
      <t>泵轴</t>
    </r>
    <r>
      <rPr>
        <sz val="11"/>
        <rFont val="Arial"/>
        <charset val="134"/>
      </rPr>
      <t>|CDM65-02|2205|8</t>
    </r>
    <r>
      <rPr>
        <sz val="11"/>
        <rFont val="宋体"/>
        <charset val="134"/>
      </rPr>
      <t>级</t>
    </r>
    <r>
      <rPr>
        <sz val="11"/>
        <rFont val="Arial"/>
        <charset val="134"/>
      </rPr>
      <t>|861</t>
    </r>
  </si>
  <si>
    <t>1690</t>
  </si>
  <si>
    <t>6</t>
  </si>
  <si>
    <t>大田红狮水泥有限公司</t>
  </si>
  <si>
    <t>1400117478</t>
  </si>
  <si>
    <r>
      <t>电缆组</t>
    </r>
    <r>
      <rPr>
        <sz val="11"/>
        <rFont val="Arial"/>
        <charset val="134"/>
      </rPr>
      <t>|ST-B</t>
    </r>
    <r>
      <rPr>
        <sz val="11"/>
        <rFont val="宋体"/>
        <charset val="134"/>
      </rPr>
      <t>座</t>
    </r>
    <r>
      <rPr>
        <sz val="11"/>
        <rFont val="Arial"/>
        <charset val="134"/>
      </rPr>
      <t>(85)|YZW-4Cx4.0SQx9M|YD|</t>
    </r>
    <r>
      <rPr>
        <sz val="11"/>
        <rFont val="宋体"/>
        <charset val="134"/>
      </rPr>
      <t>中文</t>
    </r>
  </si>
  <si>
    <t>370</t>
  </si>
  <si>
    <t>205</t>
  </si>
  <si>
    <t>四川华冠食品有限公司</t>
  </si>
  <si>
    <t>1400005122</t>
  </si>
  <si>
    <r>
      <t>拉带</t>
    </r>
    <r>
      <rPr>
        <sz val="11"/>
        <rFont val="Arial"/>
        <charset val="134"/>
      </rPr>
      <t>|CDL8A-12-00|CDLA8-14|437|304|14</t>
    </r>
    <r>
      <rPr>
        <sz val="11"/>
        <rFont val="宋体"/>
        <charset val="134"/>
      </rPr>
      <t>级</t>
    </r>
  </si>
  <si>
    <t>21</t>
  </si>
  <si>
    <t>1400058218</t>
  </si>
  <si>
    <r>
      <t>卡环套</t>
    </r>
    <r>
      <rPr>
        <sz val="11"/>
        <rFont val="Arial"/>
        <charset val="134"/>
      </rPr>
      <t>|CDM10-07|304</t>
    </r>
  </si>
  <si>
    <t>1400058221</t>
  </si>
  <si>
    <r>
      <t>支撑垫片</t>
    </r>
    <r>
      <rPr>
        <sz val="11"/>
        <rFont val="Arial"/>
        <charset val="134"/>
      </rPr>
      <t>|CDM10-09|304</t>
    </r>
  </si>
  <si>
    <t>1400058238</t>
  </si>
  <si>
    <r>
      <t>叶轮垫片</t>
    </r>
    <r>
      <rPr>
        <sz val="11"/>
        <rFont val="Arial"/>
        <charset val="134"/>
      </rPr>
      <t>|CDM-DP-2X10|304</t>
    </r>
  </si>
  <si>
    <t>1400058254</t>
  </si>
  <si>
    <r>
      <t>泵轴</t>
    </r>
    <r>
      <rPr>
        <sz val="11"/>
        <rFont val="Arial"/>
        <charset val="134"/>
      </rPr>
      <t>|CDM10-06|304|14</t>
    </r>
    <r>
      <rPr>
        <sz val="11"/>
        <rFont val="宋体"/>
        <charset val="134"/>
      </rPr>
      <t>级</t>
    </r>
    <r>
      <rPr>
        <sz val="11"/>
        <rFont val="Arial"/>
        <charset val="134"/>
      </rPr>
      <t>(542)</t>
    </r>
  </si>
  <si>
    <t>1400059227</t>
  </si>
  <si>
    <r>
      <t>支撑隔套</t>
    </r>
    <r>
      <rPr>
        <sz val="11"/>
        <rFont val="Arial"/>
        <charset val="134"/>
      </rPr>
      <t>|CDM10-08|304</t>
    </r>
  </si>
  <si>
    <t>1400059229</t>
  </si>
  <si>
    <r>
      <t>叶轮隔套</t>
    </r>
    <r>
      <rPr>
        <sz val="11"/>
        <rFont val="Arial"/>
        <charset val="134"/>
      </rPr>
      <t>|CDM-GT-29*17.4|304</t>
    </r>
  </si>
  <si>
    <t>1500005607</t>
  </si>
  <si>
    <r>
      <t>内六角圆柱头螺钉</t>
    </r>
    <r>
      <rPr>
        <sz val="11"/>
        <rFont val="Arial"/>
        <charset val="134"/>
      </rPr>
      <t>|M8X20|A2-70|GB/T70.1(DIN912)</t>
    </r>
  </si>
  <si>
    <t>1500037412</t>
  </si>
  <si>
    <r>
      <t>尼龙锁紧螺母</t>
    </r>
    <r>
      <rPr>
        <sz val="11"/>
        <rFont val="Arial"/>
        <charset val="134"/>
      </rPr>
      <t>|M10(</t>
    </r>
    <r>
      <rPr>
        <sz val="11"/>
        <rFont val="宋体"/>
        <charset val="134"/>
      </rPr>
      <t>左旋</t>
    </r>
    <r>
      <rPr>
        <sz val="11"/>
        <rFont val="Arial"/>
        <charset val="134"/>
      </rPr>
      <t>)|304|DIN985</t>
    </r>
  </si>
  <si>
    <t>四川源投环保科技有限公司</t>
  </si>
  <si>
    <t>1500003335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</si>
  <si>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TD-32/BS1E4</t>
    </r>
  </si>
  <si>
    <t>湖南南元泵业有限公司</t>
  </si>
  <si>
    <t>496</t>
  </si>
  <si>
    <t>长沙一部</t>
  </si>
  <si>
    <t>1500091317</t>
  </si>
  <si>
    <r>
      <t>机械密封</t>
    </r>
    <r>
      <rPr>
        <sz val="11"/>
        <rFont val="Arial"/>
        <charset val="134"/>
      </rPr>
      <t>H-40[</t>
    </r>
    <r>
      <rPr>
        <sz val="11"/>
        <rFont val="宋体"/>
        <charset val="134"/>
      </rPr>
      <t>精科</t>
    </r>
    <r>
      <rPr>
        <sz val="11"/>
        <rFont val="Arial"/>
        <charset val="134"/>
      </rPr>
      <t>→40|</t>
    </r>
    <r>
      <rPr>
        <sz val="11"/>
        <rFont val="宋体"/>
        <charset val="134"/>
      </rPr>
      <t>碳化硅</t>
    </r>
    <r>
      <rPr>
        <sz val="11"/>
        <rFont val="Arial"/>
        <charset val="134"/>
      </rPr>
      <t>/</t>
    </r>
    <r>
      <rPr>
        <sz val="11"/>
        <rFont val="宋体"/>
        <charset val="134"/>
      </rPr>
      <t>碳化硅</t>
    </r>
    <r>
      <rPr>
        <sz val="11"/>
        <rFont val="Arial"/>
        <charset val="134"/>
      </rPr>
      <t>+</t>
    </r>
    <r>
      <rPr>
        <sz val="11"/>
        <rFont val="宋体"/>
        <charset val="134"/>
      </rPr>
      <t>碳化硅</t>
    </r>
    <r>
      <rPr>
        <sz val="11"/>
        <rFont val="Arial"/>
        <charset val="134"/>
      </rPr>
      <t>/</t>
    </r>
    <r>
      <rPr>
        <sz val="11"/>
        <rFont val="宋体"/>
        <charset val="134"/>
      </rPr>
      <t>碳化硅</t>
    </r>
    <r>
      <rPr>
        <sz val="11"/>
        <rFont val="Arial"/>
        <charset val="134"/>
      </rPr>
      <t>|F</t>
    </r>
  </si>
  <si>
    <t>485</t>
  </si>
  <si>
    <t>四川莱斯博润热能工程有限公司</t>
  </si>
  <si>
    <t>434</t>
  </si>
  <si>
    <t>成都全益鑫商贸有限公司</t>
  </si>
  <si>
    <t>贵州欣浪贸易有限公司</t>
  </si>
  <si>
    <t>1400007769</t>
  </si>
  <si>
    <r>
      <t>泵轴</t>
    </r>
    <r>
      <rPr>
        <sz val="11"/>
        <rFont val="Arial"/>
        <charset val="134"/>
      </rPr>
      <t>|CDL85-13|304|3</t>
    </r>
    <r>
      <rPr>
        <sz val="11"/>
        <rFont val="宋体"/>
        <charset val="134"/>
      </rPr>
      <t>级</t>
    </r>
    <r>
      <rPr>
        <sz val="11"/>
        <rFont val="Arial"/>
        <charset val="134"/>
      </rPr>
      <t>|Φ22</t>
    </r>
  </si>
  <si>
    <t>440</t>
  </si>
  <si>
    <t>湖南雅城新能源股份有限公司</t>
  </si>
  <si>
    <t>1400001803</t>
  </si>
  <si>
    <r>
      <t>连接套</t>
    </r>
    <r>
      <rPr>
        <sz val="11"/>
        <rFont val="Arial"/>
        <charset val="134"/>
      </rPr>
      <t>|CDH8-20-02|304</t>
    </r>
  </si>
  <si>
    <t>1400001846</t>
  </si>
  <si>
    <r>
      <t>出水体</t>
    </r>
    <r>
      <rPr>
        <sz val="11"/>
        <rFont val="Arial"/>
        <charset val="134"/>
      </rPr>
      <t>|CDH8-20-04|304</t>
    </r>
  </si>
  <si>
    <t>265</t>
  </si>
  <si>
    <t>1400001862</t>
  </si>
  <si>
    <r>
      <t>钢丝弹簧</t>
    </r>
    <r>
      <rPr>
        <sz val="11"/>
        <rFont val="Arial"/>
        <charset val="134"/>
      </rPr>
      <t>|CDH8-20-03|304</t>
    </r>
  </si>
  <si>
    <t>14</t>
  </si>
  <si>
    <t>1400002351</t>
  </si>
  <si>
    <r>
      <t>O</t>
    </r>
    <r>
      <rPr>
        <sz val="11"/>
        <rFont val="宋体"/>
        <charset val="134"/>
      </rPr>
      <t>型圈座</t>
    </r>
    <r>
      <rPr>
        <sz val="11"/>
        <rFont val="Arial"/>
        <charset val="134"/>
      </rPr>
      <t>|CDH8-20-06|304</t>
    </r>
  </si>
  <si>
    <t>126</t>
  </si>
  <si>
    <t>1400007261</t>
  </si>
  <si>
    <r>
      <t>卡环套</t>
    </r>
    <r>
      <rPr>
        <sz val="11"/>
        <rFont val="Arial"/>
        <charset val="134"/>
      </rPr>
      <t>|CDL8A-04|304</t>
    </r>
  </si>
  <si>
    <t>1400007272</t>
  </si>
  <si>
    <r>
      <t>叶轮隔套</t>
    </r>
    <r>
      <rPr>
        <sz val="11"/>
        <rFont val="Arial"/>
        <charset val="134"/>
      </rPr>
      <t>|CDL16-00-04|304|21.5x17.5x43.59</t>
    </r>
  </si>
  <si>
    <t>95</t>
  </si>
  <si>
    <t>165</t>
  </si>
  <si>
    <t>1400059238</t>
  </si>
  <si>
    <r>
      <t>支撑导叶</t>
    </r>
    <r>
      <rPr>
        <sz val="11"/>
        <rFont val="Arial"/>
        <charset val="134"/>
      </rPr>
      <t>B|CDM15-04-00B|</t>
    </r>
    <r>
      <rPr>
        <sz val="11"/>
        <rFont val="宋体"/>
        <charset val="134"/>
      </rPr>
      <t>热水</t>
    </r>
    <r>
      <rPr>
        <sz val="11"/>
        <rFont val="Arial"/>
        <charset val="134"/>
      </rPr>
      <t>|304</t>
    </r>
  </si>
  <si>
    <t>260</t>
  </si>
  <si>
    <t>1400074000</t>
  </si>
  <si>
    <r>
      <t>导流器</t>
    </r>
    <r>
      <rPr>
        <sz val="11"/>
        <rFont val="Arial"/>
        <charset val="134"/>
      </rPr>
      <t>|CMH15-18-07-00|304</t>
    </r>
  </si>
  <si>
    <t>1400074080</t>
  </si>
  <si>
    <r>
      <t>泵轴</t>
    </r>
    <r>
      <rPr>
        <sz val="11"/>
        <rFont val="Arial"/>
        <charset val="134"/>
      </rPr>
      <t>|CMH15-18-05|316L|18</t>
    </r>
    <r>
      <rPr>
        <sz val="11"/>
        <rFont val="宋体"/>
        <charset val="134"/>
      </rPr>
      <t>级</t>
    </r>
    <r>
      <rPr>
        <sz val="11"/>
        <rFont val="Arial"/>
        <charset val="134"/>
      </rPr>
      <t>(942)</t>
    </r>
  </si>
  <si>
    <t>723</t>
  </si>
  <si>
    <t>1400074083</t>
  </si>
  <si>
    <r>
      <t>支撑导叶</t>
    </r>
    <r>
      <rPr>
        <sz val="11"/>
        <rFont val="Arial"/>
        <charset val="134"/>
      </rPr>
      <t>B|CMH15-18-06-00B|</t>
    </r>
    <r>
      <rPr>
        <sz val="11"/>
        <rFont val="宋体"/>
        <charset val="134"/>
      </rPr>
      <t>热水</t>
    </r>
    <r>
      <rPr>
        <sz val="11"/>
        <rFont val="Arial"/>
        <charset val="134"/>
      </rPr>
      <t>|304</t>
    </r>
  </si>
  <si>
    <t>335</t>
  </si>
  <si>
    <t>478</t>
  </si>
  <si>
    <t>1500004761</t>
  </si>
  <si>
    <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|169X3.3|</t>
    </r>
    <r>
      <rPr>
        <sz val="11"/>
        <rFont val="宋体"/>
        <charset val="134"/>
      </rPr>
      <t>丁腈橡胶</t>
    </r>
  </si>
  <si>
    <t>15</t>
  </si>
  <si>
    <t>1500005229</t>
  </si>
  <si>
    <r>
      <t>尼龙锁紧螺母</t>
    </r>
    <r>
      <rPr>
        <sz val="11"/>
        <rFont val="Arial"/>
        <charset val="134"/>
      </rPr>
      <t>|M10|304|GB/T6172.2(DIN985)</t>
    </r>
  </si>
  <si>
    <t>贵州诠智物联科技有限公司</t>
  </si>
  <si>
    <t>1400002539</t>
  </si>
  <si>
    <r>
      <t>泵体</t>
    </r>
    <r>
      <rPr>
        <sz val="11"/>
        <rFont val="Arial"/>
        <charset val="134"/>
      </rPr>
      <t>|TD32-26G-01|HT200|PN16</t>
    </r>
  </si>
  <si>
    <t>889</t>
  </si>
  <si>
    <t>珠海市俊辉科技有限公司</t>
  </si>
  <si>
    <t/>
  </si>
  <si>
    <t>合计：</t>
  </si>
  <si>
    <t>用户状态（签收）</t>
  </si>
  <si>
    <t>备注1：</t>
  </si>
  <si>
    <t>备注2：</t>
  </si>
  <si>
    <t>发件人：**  联系电话：8888-8888</t>
  </si>
  <si>
    <t>                                    </t>
  </si>
  <si>
    <t>广州凯膜过滤设备有限公司</t>
  </si>
  <si>
    <t>客户20018026交货冻结</t>
  </si>
  <si>
    <t>信贷限额</t>
  </si>
  <si>
    <t>湛江市岑灏棣机电设备有限公司</t>
  </si>
  <si>
    <t>客户20019166交货冻结</t>
  </si>
  <si>
    <t>山东中盛药化设备有限公司</t>
  </si>
  <si>
    <t>订单</t>
  </si>
  <si>
    <t>创建失败，超过最大重试次数，最后一次错误原因</t>
  </si>
  <si>
    <t>Can</t>
  </si>
  <si>
    <t>not</t>
  </si>
  <si>
    <t>find</t>
  </si>
  <si>
    <t>target</t>
  </si>
  <si>
    <t>OCR</t>
  </si>
  <si>
    <t>element.</t>
  </si>
  <si>
    <t>水立帮</t>
  </si>
  <si>
    <t>福州</t>
  </si>
  <si>
    <t>科技有限公司</t>
  </si>
  <si>
    <t>售后订单2100279810</t>
  </si>
  <si>
    <t>物料1500090681不存在于存储地点10724201</t>
  </si>
  <si>
    <t>郴州莱瑞二次供水设备有限公司</t>
  </si>
  <si>
    <t>客户20022496交货冻结</t>
  </si>
  <si>
    <t>贵州乾世樯机电设备有限公司</t>
  </si>
  <si>
    <t>售后订单2100279828</t>
  </si>
  <si>
    <t>短缺未限制使用的SL2</t>
  </si>
  <si>
    <t>PC</t>
  </si>
  <si>
    <t>00000000140005922710724046</t>
  </si>
  <si>
    <t>武汉格林美洁净技术工程有限公司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</si>
</sst>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  <numFmt numFmtId="177" formatCode="0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1"/>
      <name val="Arial"/>
      <charset val="134"/>
    </font>
    <font>
      <sz val="11"/>
      <name val="宋体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1" applyNumberFormat="0" applyAlignment="0" applyProtection="0">
      <alignment vertical="center"/>
    </xf>
    <xf numFmtId="0" fontId="21" fillId="4" borderId="12" applyNumberFormat="0" applyAlignment="0" applyProtection="0">
      <alignment vertical="center"/>
    </xf>
    <xf numFmtId="0" fontId="22" fillId="4" borderId="11" applyNumberFormat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1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center" wrapText="1"/>
    </xf>
    <xf numFmtId="4" fontId="7" fillId="0" borderId="3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177" fontId="9" fillId="0" borderId="3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center" vertical="center"/>
    </xf>
    <xf numFmtId="0" fontId="11" fillId="0" borderId="0" xfId="0" applyFont="1" applyFill="1">
      <alignment vertical="center"/>
    </xf>
    <xf numFmtId="0" fontId="11" fillId="0" borderId="0" xfId="0" applyFont="1" applyFill="1">
      <alignment vertical="center"/>
    </xf>
    <xf numFmtId="0" fontId="6" fillId="0" borderId="3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80"/>
  <sheetViews>
    <sheetView tabSelected="1" zoomScale="85" zoomScaleNormal="85" zoomScaleSheetLayoutView="70" topLeftCell="A259" workbookViewId="0">
      <selection activeCell="D271" sqref="D271"/>
    </sheetView>
  </sheetViews>
  <sheetFormatPr defaultColWidth="9" defaultRowHeight="30" customHeight="1"/>
  <cols>
    <col min="1" max="1" width="14.6333333333333" style="6" customWidth="1"/>
    <col min="2" max="2" width="28.8166666666667" style="7" customWidth="1"/>
    <col min="3" max="3" width="14.7" style="6" customWidth="1"/>
    <col min="4" max="4" width="20.8833333333333" style="7" customWidth="1"/>
    <col min="5" max="7" width="12.85" style="6" customWidth="1"/>
    <col min="8" max="8" width="16.6166666666667" style="3" customWidth="1"/>
    <col min="9" max="10" width="12.6416666666667" style="3" customWidth="1"/>
    <col min="11" max="11" width="12.35" style="3" customWidth="1"/>
    <col min="12" max="12" width="23.9666666666667" style="3" customWidth="1"/>
    <col min="13" max="16384" width="9" style="3"/>
  </cols>
  <sheetData>
    <row r="1" ht="51" customHeight="1" spans="1:1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25"/>
    </row>
    <row r="2" s="3" customFormat="1" ht="42" customHeight="1" spans="1:12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26"/>
    </row>
    <row r="3" s="4" customFormat="1" ht="61" customHeight="1" spans="1:12">
      <c r="A3" s="12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2" t="s">
        <v>9</v>
      </c>
      <c r="I3" s="13" t="s">
        <v>10</v>
      </c>
      <c r="J3" s="13" t="s">
        <v>11</v>
      </c>
      <c r="K3" s="12" t="s">
        <v>12</v>
      </c>
      <c r="L3" s="12" t="s">
        <v>13</v>
      </c>
    </row>
    <row r="4" s="4" customFormat="1" ht="33" customHeight="1" spans="1:12">
      <c r="A4" s="14">
        <v>360059</v>
      </c>
      <c r="B4" s="15" t="s">
        <v>14</v>
      </c>
      <c r="C4" s="14" t="s">
        <v>15</v>
      </c>
      <c r="D4" s="14" t="s">
        <v>16</v>
      </c>
      <c r="E4" s="16">
        <v>2</v>
      </c>
      <c r="F4" s="17" t="s">
        <v>17</v>
      </c>
      <c r="G4" s="18">
        <f>E4*F4</f>
        <v>946</v>
      </c>
      <c r="H4" s="18" t="s">
        <v>18</v>
      </c>
      <c r="I4" s="18">
        <v>1072</v>
      </c>
      <c r="J4" s="18" t="s">
        <v>19</v>
      </c>
      <c r="K4" s="27">
        <v>4027</v>
      </c>
      <c r="L4" s="27"/>
    </row>
    <row r="5" s="4" customFormat="1" ht="33" customHeight="1" spans="1:12">
      <c r="A5" s="19">
        <v>369517</v>
      </c>
      <c r="B5" s="20" t="s">
        <v>20</v>
      </c>
      <c r="C5" s="14" t="s">
        <v>21</v>
      </c>
      <c r="D5" s="14" t="s">
        <v>22</v>
      </c>
      <c r="E5" s="16">
        <v>1</v>
      </c>
      <c r="F5" s="17" t="s">
        <v>23</v>
      </c>
      <c r="G5" s="18">
        <f t="shared" ref="G5:G68" si="0">E5*F5</f>
        <v>9484</v>
      </c>
      <c r="H5" s="18" t="s">
        <v>18</v>
      </c>
      <c r="I5" s="18">
        <v>1072</v>
      </c>
      <c r="J5" s="28" t="s">
        <v>24</v>
      </c>
      <c r="K5" s="27">
        <v>4118</v>
      </c>
      <c r="L5" s="27"/>
    </row>
    <row r="6" s="4" customFormat="1" ht="33" customHeight="1" spans="1:12">
      <c r="A6" s="21"/>
      <c r="B6" s="22"/>
      <c r="C6" s="14" t="s">
        <v>25</v>
      </c>
      <c r="D6" s="14" t="s">
        <v>26</v>
      </c>
      <c r="E6" s="16">
        <v>3</v>
      </c>
      <c r="F6" s="17" t="s">
        <v>27</v>
      </c>
      <c r="G6" s="18">
        <f t="shared" si="0"/>
        <v>1659</v>
      </c>
      <c r="H6" s="18" t="s">
        <v>18</v>
      </c>
      <c r="I6" s="18">
        <v>1072</v>
      </c>
      <c r="J6" s="28" t="s">
        <v>24</v>
      </c>
      <c r="K6" s="27">
        <v>4118</v>
      </c>
      <c r="L6" s="27"/>
    </row>
    <row r="7" s="4" customFormat="1" ht="33" customHeight="1" spans="1:12">
      <c r="A7" s="19">
        <v>372481</v>
      </c>
      <c r="B7" s="20" t="s">
        <v>28</v>
      </c>
      <c r="C7" s="14" t="s">
        <v>29</v>
      </c>
      <c r="D7" s="15" t="s">
        <v>30</v>
      </c>
      <c r="E7" s="16">
        <v>2</v>
      </c>
      <c r="F7" s="17" t="s">
        <v>31</v>
      </c>
      <c r="G7" s="18">
        <f t="shared" si="0"/>
        <v>108</v>
      </c>
      <c r="H7" s="18" t="s">
        <v>18</v>
      </c>
      <c r="I7" s="18">
        <v>1072</v>
      </c>
      <c r="J7" s="28" t="s">
        <v>32</v>
      </c>
      <c r="K7" s="27">
        <v>4049</v>
      </c>
      <c r="L7" s="27"/>
    </row>
    <row r="8" s="4" customFormat="1" ht="33" customHeight="1" spans="1:12">
      <c r="A8" s="23"/>
      <c r="B8" s="24"/>
      <c r="C8" s="14" t="s">
        <v>33</v>
      </c>
      <c r="D8" s="15" t="s">
        <v>34</v>
      </c>
      <c r="E8" s="16">
        <v>1</v>
      </c>
      <c r="F8" s="17" t="s">
        <v>35</v>
      </c>
      <c r="G8" s="18">
        <f t="shared" si="0"/>
        <v>1516</v>
      </c>
      <c r="H8" s="18" t="s">
        <v>18</v>
      </c>
      <c r="I8" s="18">
        <v>1072</v>
      </c>
      <c r="J8" s="28" t="s">
        <v>32</v>
      </c>
      <c r="K8" s="27">
        <v>4049</v>
      </c>
      <c r="L8" s="27"/>
    </row>
    <row r="9" s="4" customFormat="1" ht="33" customHeight="1" spans="1:12">
      <c r="A9" s="23"/>
      <c r="B9" s="24"/>
      <c r="C9" s="14" t="s">
        <v>36</v>
      </c>
      <c r="D9" s="15" t="s">
        <v>37</v>
      </c>
      <c r="E9" s="16">
        <v>1</v>
      </c>
      <c r="F9" s="17" t="s">
        <v>38</v>
      </c>
      <c r="G9" s="18">
        <f t="shared" si="0"/>
        <v>2249</v>
      </c>
      <c r="H9" s="18" t="s">
        <v>18</v>
      </c>
      <c r="I9" s="18">
        <v>1072</v>
      </c>
      <c r="J9" s="28" t="s">
        <v>32</v>
      </c>
      <c r="K9" s="27">
        <v>4049</v>
      </c>
      <c r="L9" s="27"/>
    </row>
    <row r="10" s="4" customFormat="1" ht="33" customHeight="1" spans="1:12">
      <c r="A10" s="23"/>
      <c r="B10" s="24"/>
      <c r="C10" s="14" t="s">
        <v>39</v>
      </c>
      <c r="D10" s="15" t="s">
        <v>40</v>
      </c>
      <c r="E10" s="16">
        <v>1</v>
      </c>
      <c r="F10" s="17" t="s">
        <v>41</v>
      </c>
      <c r="G10" s="18">
        <f t="shared" si="0"/>
        <v>1560</v>
      </c>
      <c r="H10" s="18" t="s">
        <v>18</v>
      </c>
      <c r="I10" s="18">
        <v>1072</v>
      </c>
      <c r="J10" s="28" t="s">
        <v>32</v>
      </c>
      <c r="K10" s="27">
        <v>4049</v>
      </c>
      <c r="L10" s="27"/>
    </row>
    <row r="11" s="4" customFormat="1" ht="33" customHeight="1" spans="1:12">
      <c r="A11" s="23"/>
      <c r="B11" s="24"/>
      <c r="C11" s="14" t="s">
        <v>42</v>
      </c>
      <c r="D11" s="15" t="s">
        <v>43</v>
      </c>
      <c r="E11" s="16">
        <v>1</v>
      </c>
      <c r="F11" s="17" t="s">
        <v>44</v>
      </c>
      <c r="G11" s="18">
        <f t="shared" si="0"/>
        <v>2310</v>
      </c>
      <c r="H11" s="18" t="s">
        <v>18</v>
      </c>
      <c r="I11" s="18">
        <v>1072</v>
      </c>
      <c r="J11" s="28" t="s">
        <v>32</v>
      </c>
      <c r="K11" s="27">
        <v>4049</v>
      </c>
      <c r="L11" s="27"/>
    </row>
    <row r="12" s="4" customFormat="1" ht="33" customHeight="1" spans="1:12">
      <c r="A12" s="23"/>
      <c r="B12" s="24"/>
      <c r="C12" s="14" t="s">
        <v>45</v>
      </c>
      <c r="D12" s="14" t="s">
        <v>46</v>
      </c>
      <c r="E12" s="16">
        <v>1</v>
      </c>
      <c r="F12" s="17" t="s">
        <v>47</v>
      </c>
      <c r="G12" s="18">
        <f t="shared" si="0"/>
        <v>398</v>
      </c>
      <c r="H12" s="18" t="s">
        <v>18</v>
      </c>
      <c r="I12" s="18">
        <v>1072</v>
      </c>
      <c r="J12" s="28" t="s">
        <v>32</v>
      </c>
      <c r="K12" s="27">
        <v>4049</v>
      </c>
      <c r="L12" s="27"/>
    </row>
    <row r="13" s="4" customFormat="1" ht="33" customHeight="1" spans="1:12">
      <c r="A13" s="23"/>
      <c r="B13" s="24"/>
      <c r="C13" s="14" t="s">
        <v>48</v>
      </c>
      <c r="D13" s="14" t="s">
        <v>49</v>
      </c>
      <c r="E13" s="16">
        <v>1</v>
      </c>
      <c r="F13" s="17" t="s">
        <v>50</v>
      </c>
      <c r="G13" s="18">
        <f t="shared" si="0"/>
        <v>468</v>
      </c>
      <c r="H13" s="18" t="s">
        <v>18</v>
      </c>
      <c r="I13" s="18">
        <v>1072</v>
      </c>
      <c r="J13" s="28" t="s">
        <v>32</v>
      </c>
      <c r="K13" s="27">
        <v>4049</v>
      </c>
      <c r="L13" s="27"/>
    </row>
    <row r="14" s="4" customFormat="1" ht="33" customHeight="1" spans="1:12">
      <c r="A14" s="23"/>
      <c r="B14" s="24"/>
      <c r="C14" s="14" t="s">
        <v>51</v>
      </c>
      <c r="D14" s="14" t="s">
        <v>52</v>
      </c>
      <c r="E14" s="16">
        <v>2</v>
      </c>
      <c r="F14" s="17" t="s">
        <v>53</v>
      </c>
      <c r="G14" s="18">
        <f t="shared" si="0"/>
        <v>56</v>
      </c>
      <c r="H14" s="18" t="s">
        <v>18</v>
      </c>
      <c r="I14" s="18">
        <v>1072</v>
      </c>
      <c r="J14" s="28" t="s">
        <v>32</v>
      </c>
      <c r="K14" s="27">
        <v>4049</v>
      </c>
      <c r="L14" s="27"/>
    </row>
    <row r="15" s="4" customFormat="1" ht="33" customHeight="1" spans="1:12">
      <c r="A15" s="23"/>
      <c r="B15" s="24"/>
      <c r="C15" s="14" t="s">
        <v>54</v>
      </c>
      <c r="D15" s="15" t="s">
        <v>55</v>
      </c>
      <c r="E15" s="16">
        <v>2</v>
      </c>
      <c r="F15" s="17" t="s">
        <v>56</v>
      </c>
      <c r="G15" s="18">
        <f t="shared" si="0"/>
        <v>48</v>
      </c>
      <c r="H15" s="18" t="s">
        <v>18</v>
      </c>
      <c r="I15" s="18">
        <v>1072</v>
      </c>
      <c r="J15" s="28" t="s">
        <v>32</v>
      </c>
      <c r="K15" s="27">
        <v>4049</v>
      </c>
      <c r="L15" s="27"/>
    </row>
    <row r="16" s="4" customFormat="1" ht="33" customHeight="1" spans="1:12">
      <c r="A16" s="23"/>
      <c r="B16" s="24"/>
      <c r="C16" s="14" t="s">
        <v>57</v>
      </c>
      <c r="D16" s="15" t="s">
        <v>58</v>
      </c>
      <c r="E16" s="16">
        <v>2</v>
      </c>
      <c r="F16" s="17" t="s">
        <v>59</v>
      </c>
      <c r="G16" s="18">
        <f t="shared" si="0"/>
        <v>24</v>
      </c>
      <c r="H16" s="18" t="s">
        <v>18</v>
      </c>
      <c r="I16" s="18">
        <v>1072</v>
      </c>
      <c r="J16" s="28" t="s">
        <v>32</v>
      </c>
      <c r="K16" s="27">
        <v>4049</v>
      </c>
      <c r="L16" s="27"/>
    </row>
    <row r="17" s="4" customFormat="1" ht="33" customHeight="1" spans="1:12">
      <c r="A17" s="21"/>
      <c r="B17" s="22"/>
      <c r="C17" s="14" t="s">
        <v>60</v>
      </c>
      <c r="D17" s="15" t="s">
        <v>61</v>
      </c>
      <c r="E17" s="16">
        <v>2</v>
      </c>
      <c r="F17" s="17" t="s">
        <v>56</v>
      </c>
      <c r="G17" s="18">
        <f t="shared" si="0"/>
        <v>48</v>
      </c>
      <c r="H17" s="18" t="s">
        <v>18</v>
      </c>
      <c r="I17" s="18">
        <v>1072</v>
      </c>
      <c r="J17" s="28" t="s">
        <v>32</v>
      </c>
      <c r="K17" s="27">
        <v>4049</v>
      </c>
      <c r="L17" s="27"/>
    </row>
    <row r="18" s="4" customFormat="1" ht="33" customHeight="1" spans="1:12">
      <c r="A18" s="19">
        <v>372482</v>
      </c>
      <c r="B18" s="20" t="s">
        <v>62</v>
      </c>
      <c r="C18" s="14" t="s">
        <v>63</v>
      </c>
      <c r="D18" s="14" t="s">
        <v>64</v>
      </c>
      <c r="E18" s="16">
        <v>1</v>
      </c>
      <c r="F18" s="17" t="s">
        <v>65</v>
      </c>
      <c r="G18" s="18">
        <f t="shared" si="0"/>
        <v>187</v>
      </c>
      <c r="H18" s="18" t="s">
        <v>18</v>
      </c>
      <c r="I18" s="18">
        <v>1072</v>
      </c>
      <c r="J18" s="28" t="s">
        <v>66</v>
      </c>
      <c r="K18" s="27">
        <v>4033</v>
      </c>
      <c r="L18" s="27"/>
    </row>
    <row r="19" s="4" customFormat="1" ht="33" customHeight="1" spans="1:12">
      <c r="A19" s="21"/>
      <c r="B19" s="22"/>
      <c r="C19" s="14" t="s">
        <v>67</v>
      </c>
      <c r="D19" s="15" t="s">
        <v>68</v>
      </c>
      <c r="E19" s="16">
        <v>2</v>
      </c>
      <c r="F19" s="17" t="s">
        <v>69</v>
      </c>
      <c r="G19" s="18">
        <f t="shared" si="0"/>
        <v>198</v>
      </c>
      <c r="H19" s="18" t="s">
        <v>18</v>
      </c>
      <c r="I19" s="18">
        <v>1072</v>
      </c>
      <c r="J19" s="28" t="s">
        <v>66</v>
      </c>
      <c r="K19" s="27">
        <v>4033</v>
      </c>
      <c r="L19" s="27"/>
    </row>
    <row r="20" s="4" customFormat="1" ht="33" customHeight="1" spans="1:12">
      <c r="A20" s="19">
        <v>373702</v>
      </c>
      <c r="B20" s="20" t="s">
        <v>70</v>
      </c>
      <c r="C20" s="14" t="s">
        <v>71</v>
      </c>
      <c r="D20" s="15" t="s">
        <v>72</v>
      </c>
      <c r="E20" s="16">
        <v>27</v>
      </c>
      <c r="F20" s="17" t="s">
        <v>56</v>
      </c>
      <c r="G20" s="18">
        <f t="shared" si="0"/>
        <v>648</v>
      </c>
      <c r="H20" s="18" t="s">
        <v>18</v>
      </c>
      <c r="I20" s="18">
        <v>1072</v>
      </c>
      <c r="J20" s="28" t="s">
        <v>73</v>
      </c>
      <c r="K20" s="27">
        <v>4055</v>
      </c>
      <c r="L20" s="27"/>
    </row>
    <row r="21" s="4" customFormat="1" ht="33" customHeight="1" spans="1:12">
      <c r="A21" s="23"/>
      <c r="B21" s="24"/>
      <c r="C21" s="14" t="s">
        <v>74</v>
      </c>
      <c r="D21" s="15" t="s">
        <v>75</v>
      </c>
      <c r="E21" s="16">
        <v>1</v>
      </c>
      <c r="F21" s="17" t="s">
        <v>76</v>
      </c>
      <c r="G21" s="18">
        <f t="shared" si="0"/>
        <v>341</v>
      </c>
      <c r="H21" s="18" t="s">
        <v>18</v>
      </c>
      <c r="I21" s="18">
        <v>1072</v>
      </c>
      <c r="J21" s="28" t="s">
        <v>73</v>
      </c>
      <c r="K21" s="27">
        <v>4055</v>
      </c>
      <c r="L21" s="27"/>
    </row>
    <row r="22" s="4" customFormat="1" ht="33" customHeight="1" spans="1:12">
      <c r="A22" s="21"/>
      <c r="B22" s="22"/>
      <c r="C22" s="14" t="s">
        <v>77</v>
      </c>
      <c r="D22" s="15" t="s">
        <v>78</v>
      </c>
      <c r="E22" s="16">
        <v>1</v>
      </c>
      <c r="F22" s="17" t="s">
        <v>79</v>
      </c>
      <c r="G22" s="18">
        <f t="shared" si="0"/>
        <v>3</v>
      </c>
      <c r="H22" s="18" t="s">
        <v>18</v>
      </c>
      <c r="I22" s="18">
        <v>1072</v>
      </c>
      <c r="J22" s="28" t="s">
        <v>73</v>
      </c>
      <c r="K22" s="27">
        <v>4055</v>
      </c>
      <c r="L22" s="27"/>
    </row>
    <row r="23" s="4" customFormat="1" ht="33" customHeight="1" spans="1:12">
      <c r="A23" s="14">
        <v>374572</v>
      </c>
      <c r="B23" s="15" t="s">
        <v>80</v>
      </c>
      <c r="C23" s="14" t="s">
        <v>81</v>
      </c>
      <c r="D23" s="15" t="s">
        <v>82</v>
      </c>
      <c r="E23" s="16">
        <v>1</v>
      </c>
      <c r="F23" s="17" t="s">
        <v>83</v>
      </c>
      <c r="G23" s="18">
        <f t="shared" si="0"/>
        <v>182</v>
      </c>
      <c r="H23" s="18" t="s">
        <v>18</v>
      </c>
      <c r="I23" s="18">
        <v>1072</v>
      </c>
      <c r="J23" s="28" t="s">
        <v>73</v>
      </c>
      <c r="K23" s="27">
        <v>4055</v>
      </c>
      <c r="L23" s="27"/>
    </row>
    <row r="24" s="4" customFormat="1" ht="33" customHeight="1" spans="1:12">
      <c r="A24" s="19">
        <v>374950</v>
      </c>
      <c r="B24" s="20" t="s">
        <v>84</v>
      </c>
      <c r="C24" s="14" t="s">
        <v>85</v>
      </c>
      <c r="D24" s="14" t="s">
        <v>86</v>
      </c>
      <c r="E24" s="16">
        <v>2</v>
      </c>
      <c r="F24" s="17" t="s">
        <v>87</v>
      </c>
      <c r="G24" s="18">
        <f t="shared" si="0"/>
        <v>1650</v>
      </c>
      <c r="H24" s="18" t="s">
        <v>18</v>
      </c>
      <c r="I24" s="18">
        <v>1072</v>
      </c>
      <c r="J24" s="28" t="s">
        <v>88</v>
      </c>
      <c r="K24" s="27">
        <v>4117</v>
      </c>
      <c r="L24" s="27"/>
    </row>
    <row r="25" s="4" customFormat="1" ht="33" customHeight="1" spans="1:12">
      <c r="A25" s="23"/>
      <c r="B25" s="24"/>
      <c r="C25" s="14" t="s">
        <v>89</v>
      </c>
      <c r="D25" s="14" t="s">
        <v>90</v>
      </c>
      <c r="E25" s="16">
        <v>2</v>
      </c>
      <c r="F25" s="17" t="s">
        <v>53</v>
      </c>
      <c r="G25" s="18">
        <f t="shared" si="0"/>
        <v>56</v>
      </c>
      <c r="H25" s="18" t="s">
        <v>18</v>
      </c>
      <c r="I25" s="18">
        <v>1072</v>
      </c>
      <c r="J25" s="28" t="s">
        <v>88</v>
      </c>
      <c r="K25" s="27">
        <v>4117</v>
      </c>
      <c r="L25" s="27"/>
    </row>
    <row r="26" s="4" customFormat="1" ht="33" customHeight="1" spans="1:12">
      <c r="A26" s="23"/>
      <c r="B26" s="24"/>
      <c r="C26" s="14" t="s">
        <v>91</v>
      </c>
      <c r="D26" s="14" t="s">
        <v>92</v>
      </c>
      <c r="E26" s="16">
        <v>2</v>
      </c>
      <c r="F26" s="17" t="s">
        <v>93</v>
      </c>
      <c r="G26" s="18">
        <f t="shared" si="0"/>
        <v>22</v>
      </c>
      <c r="H26" s="18" t="s">
        <v>18</v>
      </c>
      <c r="I26" s="18">
        <v>1072</v>
      </c>
      <c r="J26" s="28" t="s">
        <v>88</v>
      </c>
      <c r="K26" s="27">
        <v>4117</v>
      </c>
      <c r="L26" s="27"/>
    </row>
    <row r="27" s="4" customFormat="1" ht="33" customHeight="1" spans="1:12">
      <c r="A27" s="21"/>
      <c r="B27" s="22"/>
      <c r="C27" s="14" t="s">
        <v>94</v>
      </c>
      <c r="D27" s="14" t="s">
        <v>95</v>
      </c>
      <c r="E27" s="16">
        <v>2</v>
      </c>
      <c r="F27" s="17" t="s">
        <v>96</v>
      </c>
      <c r="G27" s="18">
        <f t="shared" si="0"/>
        <v>626</v>
      </c>
      <c r="H27" s="18" t="s">
        <v>18</v>
      </c>
      <c r="I27" s="18">
        <v>1072</v>
      </c>
      <c r="J27" s="28" t="s">
        <v>88</v>
      </c>
      <c r="K27" s="27">
        <v>4117</v>
      </c>
      <c r="L27" s="27"/>
    </row>
    <row r="28" s="4" customFormat="1" ht="33" customHeight="1" spans="1:12">
      <c r="A28" s="19">
        <v>375038</v>
      </c>
      <c r="B28" s="20" t="s">
        <v>97</v>
      </c>
      <c r="C28" s="14" t="s">
        <v>98</v>
      </c>
      <c r="D28" s="15" t="s">
        <v>99</v>
      </c>
      <c r="E28" s="16">
        <v>2</v>
      </c>
      <c r="F28" s="17" t="s">
        <v>100</v>
      </c>
      <c r="G28" s="18">
        <f t="shared" si="0"/>
        <v>1880</v>
      </c>
      <c r="H28" s="18" t="s">
        <v>18</v>
      </c>
      <c r="I28" s="18">
        <v>1072</v>
      </c>
      <c r="J28" s="28" t="s">
        <v>101</v>
      </c>
      <c r="K28" s="27">
        <v>4029</v>
      </c>
      <c r="L28" s="27"/>
    </row>
    <row r="29" s="4" customFormat="1" ht="33" customHeight="1" spans="1:12">
      <c r="A29" s="21"/>
      <c r="B29" s="22"/>
      <c r="C29" s="14" t="s">
        <v>102</v>
      </c>
      <c r="D29" s="14" t="s">
        <v>103</v>
      </c>
      <c r="E29" s="16">
        <v>1</v>
      </c>
      <c r="F29" s="17" t="s">
        <v>104</v>
      </c>
      <c r="G29" s="18">
        <f t="shared" si="0"/>
        <v>366</v>
      </c>
      <c r="H29" s="18" t="s">
        <v>18</v>
      </c>
      <c r="I29" s="18">
        <v>1072</v>
      </c>
      <c r="J29" s="28" t="s">
        <v>101</v>
      </c>
      <c r="K29" s="27">
        <v>4029</v>
      </c>
      <c r="L29" s="27"/>
    </row>
    <row r="30" s="4" customFormat="1" ht="33" customHeight="1" spans="1:12">
      <c r="A30" s="19">
        <v>375475</v>
      </c>
      <c r="B30" s="20" t="s">
        <v>105</v>
      </c>
      <c r="C30" s="14" t="s">
        <v>106</v>
      </c>
      <c r="D30" s="15" t="s">
        <v>107</v>
      </c>
      <c r="E30" s="16">
        <v>1</v>
      </c>
      <c r="F30" s="17" t="s">
        <v>108</v>
      </c>
      <c r="G30" s="18">
        <f t="shared" si="0"/>
        <v>60</v>
      </c>
      <c r="H30" s="18" t="s">
        <v>18</v>
      </c>
      <c r="I30" s="18">
        <v>1072</v>
      </c>
      <c r="J30" s="28" t="s">
        <v>109</v>
      </c>
      <c r="K30" s="27">
        <v>4155</v>
      </c>
      <c r="L30" s="27"/>
    </row>
    <row r="31" s="4" customFormat="1" ht="33" customHeight="1" spans="1:12">
      <c r="A31" s="23"/>
      <c r="B31" s="24"/>
      <c r="C31" s="14" t="s">
        <v>110</v>
      </c>
      <c r="D31" s="15" t="s">
        <v>111</v>
      </c>
      <c r="E31" s="16">
        <v>4</v>
      </c>
      <c r="F31" s="17" t="s">
        <v>112</v>
      </c>
      <c r="G31" s="18">
        <f t="shared" si="0"/>
        <v>40</v>
      </c>
      <c r="H31" s="18" t="s">
        <v>18</v>
      </c>
      <c r="I31" s="18">
        <v>1072</v>
      </c>
      <c r="J31" s="28" t="s">
        <v>109</v>
      </c>
      <c r="K31" s="27">
        <v>4155</v>
      </c>
      <c r="L31" s="27"/>
    </row>
    <row r="32" s="4" customFormat="1" ht="33" customHeight="1" spans="1:12">
      <c r="A32" s="21"/>
      <c r="B32" s="22"/>
      <c r="C32" s="14" t="s">
        <v>113</v>
      </c>
      <c r="D32" s="15" t="s">
        <v>114</v>
      </c>
      <c r="E32" s="16">
        <v>1</v>
      </c>
      <c r="F32" s="17" t="s">
        <v>115</v>
      </c>
      <c r="G32" s="18">
        <f t="shared" si="0"/>
        <v>200</v>
      </c>
      <c r="H32" s="18" t="s">
        <v>18</v>
      </c>
      <c r="I32" s="18">
        <v>1072</v>
      </c>
      <c r="J32" s="28" t="s">
        <v>109</v>
      </c>
      <c r="K32" s="27">
        <v>4155</v>
      </c>
      <c r="L32" s="27"/>
    </row>
    <row r="33" s="4" customFormat="1" ht="33" customHeight="1" spans="1:12">
      <c r="A33" s="14">
        <v>375504</v>
      </c>
      <c r="B33" s="15" t="s">
        <v>116</v>
      </c>
      <c r="C33" s="14" t="s">
        <v>117</v>
      </c>
      <c r="D33" s="15" t="s">
        <v>118</v>
      </c>
      <c r="E33" s="16">
        <v>5</v>
      </c>
      <c r="F33" s="17" t="s">
        <v>93</v>
      </c>
      <c r="G33" s="18">
        <f t="shared" si="0"/>
        <v>55</v>
      </c>
      <c r="H33" s="18" t="s">
        <v>18</v>
      </c>
      <c r="I33" s="18">
        <v>1072</v>
      </c>
      <c r="J33" s="18" t="s">
        <v>119</v>
      </c>
      <c r="K33" s="27">
        <v>4050</v>
      </c>
      <c r="L33" s="27"/>
    </row>
    <row r="34" s="4" customFormat="1" ht="33" customHeight="1" spans="1:12">
      <c r="A34" s="19">
        <v>375615</v>
      </c>
      <c r="B34" s="20" t="s">
        <v>120</v>
      </c>
      <c r="C34" s="14" t="s">
        <v>121</v>
      </c>
      <c r="D34" s="15" t="s">
        <v>122</v>
      </c>
      <c r="E34" s="16">
        <v>1</v>
      </c>
      <c r="F34" s="17" t="s">
        <v>123</v>
      </c>
      <c r="G34" s="18">
        <f t="shared" si="0"/>
        <v>72</v>
      </c>
      <c r="H34" s="18" t="s">
        <v>18</v>
      </c>
      <c r="I34" s="18">
        <v>1072</v>
      </c>
      <c r="J34" s="28" t="s">
        <v>124</v>
      </c>
      <c r="K34" s="27">
        <v>4061</v>
      </c>
      <c r="L34" s="27"/>
    </row>
    <row r="35" s="4" customFormat="1" ht="33" customHeight="1" spans="1:12">
      <c r="A35" s="23"/>
      <c r="B35" s="24"/>
      <c r="C35" s="14" t="s">
        <v>125</v>
      </c>
      <c r="D35" s="15" t="s">
        <v>126</v>
      </c>
      <c r="E35" s="16">
        <v>1</v>
      </c>
      <c r="F35" s="17" t="s">
        <v>127</v>
      </c>
      <c r="G35" s="18">
        <f t="shared" si="0"/>
        <v>61</v>
      </c>
      <c r="H35" s="18" t="s">
        <v>18</v>
      </c>
      <c r="I35" s="18">
        <v>1072</v>
      </c>
      <c r="J35" s="28" t="s">
        <v>124</v>
      </c>
      <c r="K35" s="27">
        <v>4061</v>
      </c>
      <c r="L35" s="27"/>
    </row>
    <row r="36" s="4" customFormat="1" ht="33" customHeight="1" spans="1:12">
      <c r="A36" s="21"/>
      <c r="B36" s="22"/>
      <c r="C36" s="14" t="s">
        <v>128</v>
      </c>
      <c r="D36" s="15" t="s">
        <v>129</v>
      </c>
      <c r="E36" s="16">
        <v>1</v>
      </c>
      <c r="F36" s="17" t="s">
        <v>130</v>
      </c>
      <c r="G36" s="18">
        <f t="shared" si="0"/>
        <v>83</v>
      </c>
      <c r="H36" s="18" t="s">
        <v>18</v>
      </c>
      <c r="I36" s="18">
        <v>1072</v>
      </c>
      <c r="J36" s="28" t="s">
        <v>124</v>
      </c>
      <c r="K36" s="27">
        <v>4061</v>
      </c>
      <c r="L36" s="27"/>
    </row>
    <row r="37" s="4" customFormat="1" ht="33" customHeight="1" spans="1:12">
      <c r="A37" s="19">
        <v>375633</v>
      </c>
      <c r="B37" s="20" t="s">
        <v>131</v>
      </c>
      <c r="C37" s="14" t="s">
        <v>132</v>
      </c>
      <c r="D37" s="15" t="s">
        <v>133</v>
      </c>
      <c r="E37" s="16">
        <v>1</v>
      </c>
      <c r="F37" s="17" t="s">
        <v>134</v>
      </c>
      <c r="G37" s="18">
        <f t="shared" si="0"/>
        <v>833</v>
      </c>
      <c r="H37" s="18" t="s">
        <v>18</v>
      </c>
      <c r="I37" s="18">
        <v>1072</v>
      </c>
      <c r="J37" s="28" t="s">
        <v>135</v>
      </c>
      <c r="K37" s="27">
        <v>4203</v>
      </c>
      <c r="L37" s="27"/>
    </row>
    <row r="38" s="4" customFormat="1" ht="33" customHeight="1" spans="1:12">
      <c r="A38" s="21"/>
      <c r="B38" s="22"/>
      <c r="C38" s="14" t="s">
        <v>136</v>
      </c>
      <c r="D38" s="15" t="s">
        <v>137</v>
      </c>
      <c r="E38" s="16">
        <v>1</v>
      </c>
      <c r="F38" s="17" t="s">
        <v>138</v>
      </c>
      <c r="G38" s="18">
        <f t="shared" si="0"/>
        <v>380</v>
      </c>
      <c r="H38" s="18" t="s">
        <v>18</v>
      </c>
      <c r="I38" s="18">
        <v>1072</v>
      </c>
      <c r="J38" s="28" t="s">
        <v>135</v>
      </c>
      <c r="K38" s="27">
        <v>4203</v>
      </c>
      <c r="L38" s="27"/>
    </row>
    <row r="39" s="4" customFormat="1" ht="33" customHeight="1" spans="1:12">
      <c r="A39" s="19">
        <v>375661</v>
      </c>
      <c r="B39" s="20" t="s">
        <v>139</v>
      </c>
      <c r="C39" s="14" t="s">
        <v>140</v>
      </c>
      <c r="D39" s="14" t="s">
        <v>141</v>
      </c>
      <c r="E39" s="16">
        <v>1</v>
      </c>
      <c r="F39" s="17" t="s">
        <v>47</v>
      </c>
      <c r="G39" s="18">
        <f t="shared" si="0"/>
        <v>398</v>
      </c>
      <c r="H39" s="18" t="s">
        <v>18</v>
      </c>
      <c r="I39" s="18">
        <v>1072</v>
      </c>
      <c r="J39" s="28" t="s">
        <v>142</v>
      </c>
      <c r="K39" s="27">
        <v>4031</v>
      </c>
      <c r="L39" s="27"/>
    </row>
    <row r="40" s="4" customFormat="1" ht="33" customHeight="1" spans="1:12">
      <c r="A40" s="21"/>
      <c r="B40" s="22"/>
      <c r="C40" s="14" t="s">
        <v>143</v>
      </c>
      <c r="D40" s="14" t="s">
        <v>144</v>
      </c>
      <c r="E40" s="16">
        <v>1</v>
      </c>
      <c r="F40" s="17" t="s">
        <v>145</v>
      </c>
      <c r="G40" s="18">
        <f t="shared" si="0"/>
        <v>88</v>
      </c>
      <c r="H40" s="18" t="s">
        <v>18</v>
      </c>
      <c r="I40" s="18">
        <v>1072</v>
      </c>
      <c r="J40" s="28" t="s">
        <v>142</v>
      </c>
      <c r="K40" s="27">
        <v>4031</v>
      </c>
      <c r="L40" s="27"/>
    </row>
    <row r="41" s="4" customFormat="1" ht="33" customHeight="1" spans="1:12">
      <c r="A41" s="19">
        <v>375763</v>
      </c>
      <c r="B41" s="20" t="s">
        <v>146</v>
      </c>
      <c r="C41" s="14" t="s">
        <v>147</v>
      </c>
      <c r="D41" s="14" t="s">
        <v>148</v>
      </c>
      <c r="E41" s="16">
        <v>1</v>
      </c>
      <c r="F41" s="17" t="s">
        <v>149</v>
      </c>
      <c r="G41" s="18">
        <f t="shared" si="0"/>
        <v>588</v>
      </c>
      <c r="H41" s="18" t="s">
        <v>18</v>
      </c>
      <c r="I41" s="18">
        <v>1072</v>
      </c>
      <c r="J41" s="28" t="s">
        <v>150</v>
      </c>
      <c r="K41" s="27">
        <v>4043</v>
      </c>
      <c r="L41" s="27"/>
    </row>
    <row r="42" s="4" customFormat="1" ht="33" customHeight="1" spans="1:12">
      <c r="A42" s="23"/>
      <c r="B42" s="24"/>
      <c r="C42" s="14" t="s">
        <v>151</v>
      </c>
      <c r="D42" s="15" t="s">
        <v>152</v>
      </c>
      <c r="E42" s="16">
        <v>1</v>
      </c>
      <c r="F42" s="17" t="s">
        <v>153</v>
      </c>
      <c r="G42" s="18">
        <f t="shared" si="0"/>
        <v>65</v>
      </c>
      <c r="H42" s="18" t="s">
        <v>18</v>
      </c>
      <c r="I42" s="18">
        <v>1072</v>
      </c>
      <c r="J42" s="28" t="s">
        <v>150</v>
      </c>
      <c r="K42" s="27">
        <v>4043</v>
      </c>
      <c r="L42" s="27"/>
    </row>
    <row r="43" s="4" customFormat="1" ht="33" customHeight="1" spans="1:12">
      <c r="A43" s="23"/>
      <c r="B43" s="24"/>
      <c r="C43" s="14" t="s">
        <v>154</v>
      </c>
      <c r="D43" s="15" t="s">
        <v>155</v>
      </c>
      <c r="E43" s="16">
        <v>1</v>
      </c>
      <c r="F43" s="17" t="s">
        <v>127</v>
      </c>
      <c r="G43" s="18">
        <f t="shared" si="0"/>
        <v>61</v>
      </c>
      <c r="H43" s="18" t="s">
        <v>18</v>
      </c>
      <c r="I43" s="18">
        <v>1072</v>
      </c>
      <c r="J43" s="28" t="s">
        <v>150</v>
      </c>
      <c r="K43" s="27">
        <v>4043</v>
      </c>
      <c r="L43" s="27"/>
    </row>
    <row r="44" s="4" customFormat="1" ht="33" customHeight="1" spans="1:12">
      <c r="A44" s="23"/>
      <c r="B44" s="24"/>
      <c r="C44" s="14" t="s">
        <v>156</v>
      </c>
      <c r="D44" s="15" t="s">
        <v>157</v>
      </c>
      <c r="E44" s="16">
        <v>1</v>
      </c>
      <c r="F44" s="17" t="s">
        <v>127</v>
      </c>
      <c r="G44" s="18">
        <f t="shared" si="0"/>
        <v>61</v>
      </c>
      <c r="H44" s="18" t="s">
        <v>18</v>
      </c>
      <c r="I44" s="18">
        <v>1072</v>
      </c>
      <c r="J44" s="28" t="s">
        <v>150</v>
      </c>
      <c r="K44" s="27">
        <v>4043</v>
      </c>
      <c r="L44" s="27"/>
    </row>
    <row r="45" s="4" customFormat="1" ht="33" customHeight="1" spans="1:12">
      <c r="A45" s="21"/>
      <c r="B45" s="22"/>
      <c r="C45" s="14" t="s">
        <v>158</v>
      </c>
      <c r="D45" s="15" t="s">
        <v>159</v>
      </c>
      <c r="E45" s="16">
        <v>1</v>
      </c>
      <c r="F45" s="17" t="s">
        <v>123</v>
      </c>
      <c r="G45" s="18">
        <f t="shared" si="0"/>
        <v>72</v>
      </c>
      <c r="H45" s="18" t="s">
        <v>18</v>
      </c>
      <c r="I45" s="18">
        <v>1072</v>
      </c>
      <c r="J45" s="28" t="s">
        <v>150</v>
      </c>
      <c r="K45" s="27">
        <v>4043</v>
      </c>
      <c r="L45" s="27"/>
    </row>
    <row r="46" s="4" customFormat="1" ht="33" customHeight="1" spans="1:12">
      <c r="A46" s="19">
        <v>375867</v>
      </c>
      <c r="B46" s="20" t="s">
        <v>160</v>
      </c>
      <c r="C46" s="14" t="s">
        <v>161</v>
      </c>
      <c r="D46" s="14" t="s">
        <v>162</v>
      </c>
      <c r="E46" s="16">
        <v>1</v>
      </c>
      <c r="F46" s="17" t="s">
        <v>163</v>
      </c>
      <c r="G46" s="18">
        <f t="shared" si="0"/>
        <v>281</v>
      </c>
      <c r="H46" s="18" t="s">
        <v>18</v>
      </c>
      <c r="I46" s="18">
        <v>1072</v>
      </c>
      <c r="J46" s="28" t="s">
        <v>109</v>
      </c>
      <c r="K46" s="27">
        <v>4155</v>
      </c>
      <c r="L46" s="27"/>
    </row>
    <row r="47" s="4" customFormat="1" ht="33" customHeight="1" spans="1:12">
      <c r="A47" s="21"/>
      <c r="B47" s="22"/>
      <c r="C47" s="14" t="s">
        <v>164</v>
      </c>
      <c r="D47" s="15" t="s">
        <v>165</v>
      </c>
      <c r="E47" s="16">
        <v>2</v>
      </c>
      <c r="F47" s="17" t="s">
        <v>166</v>
      </c>
      <c r="G47" s="18">
        <f t="shared" si="0"/>
        <v>74</v>
      </c>
      <c r="H47" s="18" t="s">
        <v>18</v>
      </c>
      <c r="I47" s="18">
        <v>1072</v>
      </c>
      <c r="J47" s="28" t="s">
        <v>109</v>
      </c>
      <c r="K47" s="27">
        <v>4155</v>
      </c>
      <c r="L47" s="27"/>
    </row>
    <row r="48" s="4" customFormat="1" ht="33" customHeight="1" spans="1:12">
      <c r="A48" s="14">
        <v>375916</v>
      </c>
      <c r="B48" s="15" t="s">
        <v>167</v>
      </c>
      <c r="C48" s="14" t="s">
        <v>168</v>
      </c>
      <c r="D48" s="14" t="s">
        <v>169</v>
      </c>
      <c r="E48" s="16">
        <v>3</v>
      </c>
      <c r="F48" s="17" t="s">
        <v>170</v>
      </c>
      <c r="G48" s="18">
        <f t="shared" si="0"/>
        <v>1164</v>
      </c>
      <c r="H48" s="18" t="s">
        <v>18</v>
      </c>
      <c r="I48" s="18">
        <v>1072</v>
      </c>
      <c r="J48" s="18" t="s">
        <v>171</v>
      </c>
      <c r="K48" s="27">
        <v>4107</v>
      </c>
      <c r="L48" s="27"/>
    </row>
    <row r="49" s="4" customFormat="1" ht="33" customHeight="1" spans="1:12">
      <c r="A49" s="14">
        <v>375928</v>
      </c>
      <c r="B49" s="15" t="s">
        <v>172</v>
      </c>
      <c r="C49" s="14" t="s">
        <v>173</v>
      </c>
      <c r="D49" s="14" t="s">
        <v>174</v>
      </c>
      <c r="E49" s="16">
        <v>1</v>
      </c>
      <c r="F49" s="17" t="s">
        <v>175</v>
      </c>
      <c r="G49" s="18">
        <f t="shared" si="0"/>
        <v>3564</v>
      </c>
      <c r="H49" s="18" t="s">
        <v>18</v>
      </c>
      <c r="I49" s="18">
        <v>1072</v>
      </c>
      <c r="J49" s="18" t="s">
        <v>24</v>
      </c>
      <c r="K49" s="27">
        <v>4118</v>
      </c>
      <c r="L49" s="27"/>
    </row>
    <row r="50" s="4" customFormat="1" ht="33" customHeight="1" spans="1:12">
      <c r="A50" s="19">
        <v>376118</v>
      </c>
      <c r="B50" s="20" t="s">
        <v>176</v>
      </c>
      <c r="C50" s="14" t="s">
        <v>121</v>
      </c>
      <c r="D50" s="15" t="s">
        <v>122</v>
      </c>
      <c r="E50" s="16">
        <v>2</v>
      </c>
      <c r="F50" s="17" t="s">
        <v>123</v>
      </c>
      <c r="G50" s="18">
        <f t="shared" si="0"/>
        <v>144</v>
      </c>
      <c r="H50" s="18" t="s">
        <v>18</v>
      </c>
      <c r="I50" s="18">
        <v>1072</v>
      </c>
      <c r="J50" s="28" t="s">
        <v>177</v>
      </c>
      <c r="K50" s="27">
        <v>4150</v>
      </c>
      <c r="L50" s="27"/>
    </row>
    <row r="51" s="4" customFormat="1" ht="33" customHeight="1" spans="1:12">
      <c r="A51" s="23"/>
      <c r="B51" s="24"/>
      <c r="C51" s="14" t="s">
        <v>178</v>
      </c>
      <c r="D51" s="15" t="s">
        <v>179</v>
      </c>
      <c r="E51" s="16">
        <v>2</v>
      </c>
      <c r="F51" s="17" t="s">
        <v>180</v>
      </c>
      <c r="G51" s="18">
        <f t="shared" si="0"/>
        <v>14</v>
      </c>
      <c r="H51" s="18" t="s">
        <v>18</v>
      </c>
      <c r="I51" s="18">
        <v>1072</v>
      </c>
      <c r="J51" s="28" t="s">
        <v>177</v>
      </c>
      <c r="K51" s="27">
        <v>4150</v>
      </c>
      <c r="L51" s="27"/>
    </row>
    <row r="52" s="4" customFormat="1" ht="33" customHeight="1" spans="1:12">
      <c r="A52" s="23"/>
      <c r="B52" s="24"/>
      <c r="C52" s="14" t="s">
        <v>181</v>
      </c>
      <c r="D52" s="15" t="s">
        <v>182</v>
      </c>
      <c r="E52" s="16">
        <v>2</v>
      </c>
      <c r="F52" s="17" t="s">
        <v>183</v>
      </c>
      <c r="G52" s="18">
        <f t="shared" si="0"/>
        <v>8</v>
      </c>
      <c r="H52" s="18" t="s">
        <v>18</v>
      </c>
      <c r="I52" s="18">
        <v>1072</v>
      </c>
      <c r="J52" s="28" t="s">
        <v>177</v>
      </c>
      <c r="K52" s="27">
        <v>4150</v>
      </c>
      <c r="L52" s="27"/>
    </row>
    <row r="53" s="4" customFormat="1" ht="33" customHeight="1" spans="1:12">
      <c r="A53" s="23"/>
      <c r="B53" s="24"/>
      <c r="C53" s="14" t="s">
        <v>184</v>
      </c>
      <c r="D53" s="15" t="s">
        <v>185</v>
      </c>
      <c r="E53" s="16">
        <v>2</v>
      </c>
      <c r="F53" s="17" t="s">
        <v>130</v>
      </c>
      <c r="G53" s="18">
        <f t="shared" si="0"/>
        <v>166</v>
      </c>
      <c r="H53" s="18" t="s">
        <v>18</v>
      </c>
      <c r="I53" s="18">
        <v>1072</v>
      </c>
      <c r="J53" s="28" t="s">
        <v>177</v>
      </c>
      <c r="K53" s="27">
        <v>4150</v>
      </c>
      <c r="L53" s="27"/>
    </row>
    <row r="54" s="4" customFormat="1" ht="33" customHeight="1" spans="1:12">
      <c r="A54" s="23"/>
      <c r="B54" s="24"/>
      <c r="C54" s="14" t="s">
        <v>186</v>
      </c>
      <c r="D54" s="15" t="s">
        <v>187</v>
      </c>
      <c r="E54" s="16">
        <v>1</v>
      </c>
      <c r="F54" s="17" t="s">
        <v>130</v>
      </c>
      <c r="G54" s="18">
        <f t="shared" si="0"/>
        <v>83</v>
      </c>
      <c r="H54" s="18" t="s">
        <v>18</v>
      </c>
      <c r="I54" s="18">
        <v>1072</v>
      </c>
      <c r="J54" s="28" t="s">
        <v>177</v>
      </c>
      <c r="K54" s="27">
        <v>4150</v>
      </c>
      <c r="L54" s="27"/>
    </row>
    <row r="55" s="4" customFormat="1" ht="33" customHeight="1" spans="1:12">
      <c r="A55" s="23"/>
      <c r="B55" s="24"/>
      <c r="C55" s="14" t="s">
        <v>188</v>
      </c>
      <c r="D55" s="15" t="s">
        <v>189</v>
      </c>
      <c r="E55" s="16">
        <v>2</v>
      </c>
      <c r="F55" s="17" t="s">
        <v>65</v>
      </c>
      <c r="G55" s="18">
        <f t="shared" si="0"/>
        <v>374</v>
      </c>
      <c r="H55" s="18" t="s">
        <v>18</v>
      </c>
      <c r="I55" s="18">
        <v>1072</v>
      </c>
      <c r="J55" s="28" t="s">
        <v>177</v>
      </c>
      <c r="K55" s="27">
        <v>4150</v>
      </c>
      <c r="L55" s="27"/>
    </row>
    <row r="56" s="4" customFormat="1" ht="33" customHeight="1" spans="1:12">
      <c r="A56" s="21"/>
      <c r="B56" s="22"/>
      <c r="C56" s="14" t="s">
        <v>190</v>
      </c>
      <c r="D56" s="14" t="s">
        <v>191</v>
      </c>
      <c r="E56" s="16">
        <v>1</v>
      </c>
      <c r="F56" s="17" t="s">
        <v>192</v>
      </c>
      <c r="G56" s="18">
        <f t="shared" si="0"/>
        <v>407</v>
      </c>
      <c r="H56" s="18" t="s">
        <v>18</v>
      </c>
      <c r="I56" s="18">
        <v>1072</v>
      </c>
      <c r="J56" s="28" t="s">
        <v>177</v>
      </c>
      <c r="K56" s="27">
        <v>4150</v>
      </c>
      <c r="L56" s="27"/>
    </row>
    <row r="57" s="4" customFormat="1" ht="33" customHeight="1" spans="1:12">
      <c r="A57" s="19">
        <v>376180</v>
      </c>
      <c r="B57" s="20" t="s">
        <v>193</v>
      </c>
      <c r="C57" s="14" t="s">
        <v>125</v>
      </c>
      <c r="D57" s="15" t="s">
        <v>126</v>
      </c>
      <c r="E57" s="16">
        <v>1</v>
      </c>
      <c r="F57" s="17" t="s">
        <v>127</v>
      </c>
      <c r="G57" s="18">
        <f t="shared" si="0"/>
        <v>61</v>
      </c>
      <c r="H57" s="18" t="s">
        <v>18</v>
      </c>
      <c r="I57" s="18">
        <v>1072</v>
      </c>
      <c r="J57" s="28" t="s">
        <v>124</v>
      </c>
      <c r="K57" s="27">
        <v>4061</v>
      </c>
      <c r="L57" s="27"/>
    </row>
    <row r="58" s="4" customFormat="1" ht="33" customHeight="1" spans="1:12">
      <c r="A58" s="23"/>
      <c r="B58" s="24"/>
      <c r="C58" s="14" t="s">
        <v>194</v>
      </c>
      <c r="D58" s="15" t="s">
        <v>195</v>
      </c>
      <c r="E58" s="16">
        <v>1</v>
      </c>
      <c r="F58" s="17" t="s">
        <v>130</v>
      </c>
      <c r="G58" s="18">
        <f t="shared" si="0"/>
        <v>83</v>
      </c>
      <c r="H58" s="18" t="s">
        <v>18</v>
      </c>
      <c r="I58" s="18">
        <v>1072</v>
      </c>
      <c r="J58" s="28" t="s">
        <v>124</v>
      </c>
      <c r="K58" s="27">
        <v>4061</v>
      </c>
      <c r="L58" s="27"/>
    </row>
    <row r="59" s="4" customFormat="1" ht="33" customHeight="1" spans="1:12">
      <c r="A59" s="21"/>
      <c r="B59" s="22"/>
      <c r="C59" s="14" t="s">
        <v>196</v>
      </c>
      <c r="D59" s="14" t="s">
        <v>197</v>
      </c>
      <c r="E59" s="16">
        <v>1</v>
      </c>
      <c r="F59" s="17" t="s">
        <v>65</v>
      </c>
      <c r="G59" s="18">
        <f t="shared" si="0"/>
        <v>187</v>
      </c>
      <c r="H59" s="18" t="s">
        <v>18</v>
      </c>
      <c r="I59" s="18">
        <v>1072</v>
      </c>
      <c r="J59" s="28" t="s">
        <v>124</v>
      </c>
      <c r="K59" s="27">
        <v>4061</v>
      </c>
      <c r="L59" s="27"/>
    </row>
    <row r="60" s="4" customFormat="1" ht="33" customHeight="1" spans="1:12">
      <c r="A60" s="19">
        <v>376268</v>
      </c>
      <c r="B60" s="20" t="s">
        <v>198</v>
      </c>
      <c r="C60" s="14" t="s">
        <v>199</v>
      </c>
      <c r="D60" s="15" t="s">
        <v>200</v>
      </c>
      <c r="E60" s="16">
        <v>1</v>
      </c>
      <c r="F60" s="17" t="s">
        <v>201</v>
      </c>
      <c r="G60" s="18">
        <f t="shared" si="0"/>
        <v>345</v>
      </c>
      <c r="H60" s="18" t="s">
        <v>18</v>
      </c>
      <c r="I60" s="18">
        <v>1072</v>
      </c>
      <c r="J60" s="28" t="s">
        <v>101</v>
      </c>
      <c r="K60" s="27">
        <v>4029</v>
      </c>
      <c r="L60" s="27"/>
    </row>
    <row r="61" s="4" customFormat="1" ht="33" customHeight="1" spans="1:12">
      <c r="A61" s="23"/>
      <c r="B61" s="24"/>
      <c r="C61" s="14" t="s">
        <v>202</v>
      </c>
      <c r="D61" s="15" t="s">
        <v>203</v>
      </c>
      <c r="E61" s="16">
        <v>1</v>
      </c>
      <c r="F61" s="17" t="s">
        <v>204</v>
      </c>
      <c r="G61" s="18">
        <f t="shared" si="0"/>
        <v>90</v>
      </c>
      <c r="H61" s="18" t="s">
        <v>18</v>
      </c>
      <c r="I61" s="18">
        <v>1072</v>
      </c>
      <c r="J61" s="28" t="s">
        <v>101</v>
      </c>
      <c r="K61" s="27">
        <v>4029</v>
      </c>
      <c r="L61" s="27"/>
    </row>
    <row r="62" s="4" customFormat="1" ht="33" customHeight="1" spans="1:12">
      <c r="A62" s="21"/>
      <c r="B62" s="22"/>
      <c r="C62" s="14" t="s">
        <v>190</v>
      </c>
      <c r="D62" s="14" t="s">
        <v>191</v>
      </c>
      <c r="E62" s="16">
        <v>1</v>
      </c>
      <c r="F62" s="17" t="s">
        <v>205</v>
      </c>
      <c r="G62" s="18">
        <f t="shared" si="0"/>
        <v>410</v>
      </c>
      <c r="H62" s="18" t="s">
        <v>18</v>
      </c>
      <c r="I62" s="18">
        <v>1072</v>
      </c>
      <c r="J62" s="28" t="s">
        <v>101</v>
      </c>
      <c r="K62" s="27">
        <v>4029</v>
      </c>
      <c r="L62" s="27"/>
    </row>
    <row r="63" s="4" customFormat="1" ht="33" customHeight="1" spans="1:12">
      <c r="A63" s="19">
        <v>376279</v>
      </c>
      <c r="B63" s="20" t="s">
        <v>206</v>
      </c>
      <c r="C63" s="14" t="s">
        <v>121</v>
      </c>
      <c r="D63" s="15" t="s">
        <v>122</v>
      </c>
      <c r="E63" s="16">
        <v>3</v>
      </c>
      <c r="F63" s="17" t="s">
        <v>204</v>
      </c>
      <c r="G63" s="18">
        <f t="shared" si="0"/>
        <v>270</v>
      </c>
      <c r="H63" s="18" t="s">
        <v>18</v>
      </c>
      <c r="I63" s="18">
        <v>1072</v>
      </c>
      <c r="J63" s="28" t="s">
        <v>207</v>
      </c>
      <c r="K63" s="27">
        <v>4116</v>
      </c>
      <c r="L63" s="27"/>
    </row>
    <row r="64" s="4" customFormat="1" ht="33" customHeight="1" spans="1:12">
      <c r="A64" s="23"/>
      <c r="B64" s="24"/>
      <c r="C64" s="14" t="s">
        <v>110</v>
      </c>
      <c r="D64" s="15" t="s">
        <v>111</v>
      </c>
      <c r="E64" s="16">
        <v>4</v>
      </c>
      <c r="F64" s="17" t="s">
        <v>112</v>
      </c>
      <c r="G64" s="18">
        <f t="shared" si="0"/>
        <v>40</v>
      </c>
      <c r="H64" s="18" t="s">
        <v>18</v>
      </c>
      <c r="I64" s="18">
        <v>1072</v>
      </c>
      <c r="J64" s="28" t="s">
        <v>207</v>
      </c>
      <c r="K64" s="27">
        <v>4116</v>
      </c>
      <c r="L64" s="27"/>
    </row>
    <row r="65" s="4" customFormat="1" ht="33" customHeight="1" spans="1:12">
      <c r="A65" s="23"/>
      <c r="B65" s="24"/>
      <c r="C65" s="14" t="s">
        <v>208</v>
      </c>
      <c r="D65" s="15" t="s">
        <v>209</v>
      </c>
      <c r="E65" s="16">
        <v>3</v>
      </c>
      <c r="F65" s="17" t="s">
        <v>210</v>
      </c>
      <c r="G65" s="18">
        <f t="shared" si="0"/>
        <v>420</v>
      </c>
      <c r="H65" s="18" t="s">
        <v>18</v>
      </c>
      <c r="I65" s="18">
        <v>1072</v>
      </c>
      <c r="J65" s="28" t="s">
        <v>207</v>
      </c>
      <c r="K65" s="27">
        <v>4116</v>
      </c>
      <c r="L65" s="27"/>
    </row>
    <row r="66" s="4" customFormat="1" ht="33" customHeight="1" spans="1:12">
      <c r="A66" s="23"/>
      <c r="B66" s="24"/>
      <c r="C66" s="14" t="s">
        <v>211</v>
      </c>
      <c r="D66" s="15" t="s">
        <v>212</v>
      </c>
      <c r="E66" s="16">
        <v>1</v>
      </c>
      <c r="F66" s="17" t="s">
        <v>213</v>
      </c>
      <c r="G66" s="18">
        <f t="shared" si="0"/>
        <v>565</v>
      </c>
      <c r="H66" s="18" t="s">
        <v>18</v>
      </c>
      <c r="I66" s="18">
        <v>1072</v>
      </c>
      <c r="J66" s="28" t="s">
        <v>207</v>
      </c>
      <c r="K66" s="27">
        <v>4116</v>
      </c>
      <c r="L66" s="27"/>
    </row>
    <row r="67" s="4" customFormat="1" ht="33" customHeight="1" spans="1:12">
      <c r="A67" s="23"/>
      <c r="B67" s="24"/>
      <c r="C67" s="14" t="s">
        <v>214</v>
      </c>
      <c r="D67" s="15" t="s">
        <v>215</v>
      </c>
      <c r="E67" s="16">
        <v>2</v>
      </c>
      <c r="F67" s="17" t="s">
        <v>216</v>
      </c>
      <c r="G67" s="18">
        <f t="shared" si="0"/>
        <v>342</v>
      </c>
      <c r="H67" s="18" t="s">
        <v>18</v>
      </c>
      <c r="I67" s="18">
        <v>1072</v>
      </c>
      <c r="J67" s="28" t="s">
        <v>207</v>
      </c>
      <c r="K67" s="27">
        <v>4116</v>
      </c>
      <c r="L67" s="27"/>
    </row>
    <row r="68" s="4" customFormat="1" ht="33" customHeight="1" spans="1:12">
      <c r="A68" s="23"/>
      <c r="B68" s="24"/>
      <c r="C68" s="14" t="s">
        <v>188</v>
      </c>
      <c r="D68" s="15" t="s">
        <v>189</v>
      </c>
      <c r="E68" s="16">
        <v>3</v>
      </c>
      <c r="F68" s="17" t="s">
        <v>217</v>
      </c>
      <c r="G68" s="18">
        <f t="shared" si="0"/>
        <v>675</v>
      </c>
      <c r="H68" s="18" t="s">
        <v>18</v>
      </c>
      <c r="I68" s="18">
        <v>1072</v>
      </c>
      <c r="J68" s="28" t="s">
        <v>207</v>
      </c>
      <c r="K68" s="27">
        <v>4116</v>
      </c>
      <c r="L68" s="27"/>
    </row>
    <row r="69" s="4" customFormat="1" ht="33" customHeight="1" spans="1:12">
      <c r="A69" s="21"/>
      <c r="B69" s="22"/>
      <c r="C69" s="14" t="s">
        <v>190</v>
      </c>
      <c r="D69" s="14" t="s">
        <v>191</v>
      </c>
      <c r="E69" s="16">
        <v>3</v>
      </c>
      <c r="F69" s="17" t="s">
        <v>218</v>
      </c>
      <c r="G69" s="18">
        <f t="shared" ref="G69:G132" si="1">E69*F69</f>
        <v>1464</v>
      </c>
      <c r="H69" s="18" t="s">
        <v>18</v>
      </c>
      <c r="I69" s="18">
        <v>1072</v>
      </c>
      <c r="J69" s="28" t="s">
        <v>207</v>
      </c>
      <c r="K69" s="27">
        <v>4116</v>
      </c>
      <c r="L69" s="27"/>
    </row>
    <row r="70" s="4" customFormat="1" ht="33" customHeight="1" spans="1:12">
      <c r="A70" s="14">
        <v>376293</v>
      </c>
      <c r="B70" s="15" t="s">
        <v>219</v>
      </c>
      <c r="C70" s="14" t="s">
        <v>220</v>
      </c>
      <c r="D70" s="14" t="s">
        <v>221</v>
      </c>
      <c r="E70" s="16">
        <v>1</v>
      </c>
      <c r="F70" s="17" t="s">
        <v>222</v>
      </c>
      <c r="G70" s="18">
        <f t="shared" si="1"/>
        <v>5800</v>
      </c>
      <c r="H70" s="18" t="s">
        <v>18</v>
      </c>
      <c r="I70" s="18">
        <v>1072</v>
      </c>
      <c r="J70" s="18" t="s">
        <v>223</v>
      </c>
      <c r="K70" s="27">
        <v>4044</v>
      </c>
      <c r="L70" s="27"/>
    </row>
    <row r="71" s="4" customFormat="1" ht="33" customHeight="1" spans="1:12">
      <c r="A71" s="14">
        <v>376308</v>
      </c>
      <c r="B71" s="15" t="s">
        <v>224</v>
      </c>
      <c r="C71" s="14" t="s">
        <v>63</v>
      </c>
      <c r="D71" s="14" t="s">
        <v>64</v>
      </c>
      <c r="E71" s="16">
        <v>2</v>
      </c>
      <c r="F71" s="17" t="s">
        <v>115</v>
      </c>
      <c r="G71" s="18">
        <f t="shared" si="1"/>
        <v>400</v>
      </c>
      <c r="H71" s="18" t="s">
        <v>18</v>
      </c>
      <c r="I71" s="18">
        <v>1072</v>
      </c>
      <c r="J71" s="18" t="s">
        <v>119</v>
      </c>
      <c r="K71" s="27">
        <v>4050</v>
      </c>
      <c r="L71" s="27"/>
    </row>
    <row r="72" s="4" customFormat="1" ht="33" customHeight="1" spans="1:12">
      <c r="A72" s="14">
        <v>376363</v>
      </c>
      <c r="B72" s="15" t="s">
        <v>225</v>
      </c>
      <c r="C72" s="14" t="s">
        <v>226</v>
      </c>
      <c r="D72" s="15" t="s">
        <v>227</v>
      </c>
      <c r="E72" s="16">
        <v>1</v>
      </c>
      <c r="F72" s="17" t="s">
        <v>17</v>
      </c>
      <c r="G72" s="18">
        <f t="shared" si="1"/>
        <v>473</v>
      </c>
      <c r="H72" s="18" t="s">
        <v>18</v>
      </c>
      <c r="I72" s="18">
        <v>1072</v>
      </c>
      <c r="J72" s="18" t="s">
        <v>228</v>
      </c>
      <c r="K72" s="27">
        <v>4054</v>
      </c>
      <c r="L72" s="27"/>
    </row>
    <row r="73" s="4" customFormat="1" ht="33" customHeight="1" spans="1:12">
      <c r="A73" s="14">
        <v>376382</v>
      </c>
      <c r="B73" s="15" t="s">
        <v>229</v>
      </c>
      <c r="C73" s="14" t="s">
        <v>230</v>
      </c>
      <c r="D73" s="15" t="s">
        <v>231</v>
      </c>
      <c r="E73" s="16">
        <v>1</v>
      </c>
      <c r="F73" s="17" t="s">
        <v>232</v>
      </c>
      <c r="G73" s="18">
        <f t="shared" si="1"/>
        <v>1662</v>
      </c>
      <c r="H73" s="18" t="s">
        <v>18</v>
      </c>
      <c r="I73" s="18">
        <v>1072</v>
      </c>
      <c r="J73" s="18" t="s">
        <v>88</v>
      </c>
      <c r="K73" s="27">
        <v>4117</v>
      </c>
      <c r="L73" s="27"/>
    </row>
    <row r="74" s="4" customFormat="1" ht="33" customHeight="1" spans="1:12">
      <c r="A74" s="14">
        <v>376412</v>
      </c>
      <c r="B74" s="15" t="s">
        <v>233</v>
      </c>
      <c r="C74" s="14" t="s">
        <v>234</v>
      </c>
      <c r="D74" s="15" t="s">
        <v>235</v>
      </c>
      <c r="E74" s="16">
        <v>4</v>
      </c>
      <c r="F74" s="17" t="s">
        <v>236</v>
      </c>
      <c r="G74" s="18">
        <f t="shared" si="1"/>
        <v>320</v>
      </c>
      <c r="H74" s="18" t="s">
        <v>18</v>
      </c>
      <c r="I74" s="18">
        <v>1072</v>
      </c>
      <c r="J74" s="18" t="s">
        <v>237</v>
      </c>
      <c r="K74" s="27">
        <v>4037</v>
      </c>
      <c r="L74" s="27"/>
    </row>
    <row r="75" s="4" customFormat="1" ht="33" customHeight="1" spans="1:12">
      <c r="A75" s="19">
        <v>376525</v>
      </c>
      <c r="B75" s="20" t="s">
        <v>238</v>
      </c>
      <c r="C75" s="14" t="s">
        <v>239</v>
      </c>
      <c r="D75" s="15" t="s">
        <v>240</v>
      </c>
      <c r="E75" s="16">
        <v>1</v>
      </c>
      <c r="F75" s="17" t="s">
        <v>241</v>
      </c>
      <c r="G75" s="18">
        <f t="shared" si="1"/>
        <v>315</v>
      </c>
      <c r="H75" s="18" t="s">
        <v>18</v>
      </c>
      <c r="I75" s="18">
        <v>1072</v>
      </c>
      <c r="J75" s="28" t="s">
        <v>242</v>
      </c>
      <c r="K75" s="27">
        <v>4056</v>
      </c>
      <c r="L75" s="27"/>
    </row>
    <row r="76" s="4" customFormat="1" ht="33" customHeight="1" spans="1:12">
      <c r="A76" s="21"/>
      <c r="B76" s="22"/>
      <c r="C76" s="14" t="s">
        <v>243</v>
      </c>
      <c r="D76" s="14" t="s">
        <v>244</v>
      </c>
      <c r="E76" s="16">
        <v>1</v>
      </c>
      <c r="F76" s="17" t="s">
        <v>245</v>
      </c>
      <c r="G76" s="18">
        <f t="shared" si="1"/>
        <v>245</v>
      </c>
      <c r="H76" s="18" t="s">
        <v>18</v>
      </c>
      <c r="I76" s="18">
        <v>1072</v>
      </c>
      <c r="J76" s="28" t="s">
        <v>242</v>
      </c>
      <c r="K76" s="27">
        <v>4056</v>
      </c>
      <c r="L76" s="27"/>
    </row>
    <row r="77" s="4" customFormat="1" ht="33" customHeight="1" spans="1:12">
      <c r="A77" s="19">
        <v>376562</v>
      </c>
      <c r="B77" s="20" t="s">
        <v>246</v>
      </c>
      <c r="C77" s="14" t="s">
        <v>247</v>
      </c>
      <c r="D77" s="15" t="s">
        <v>248</v>
      </c>
      <c r="E77" s="16">
        <v>1</v>
      </c>
      <c r="F77" s="17" t="s">
        <v>192</v>
      </c>
      <c r="G77" s="18">
        <f t="shared" si="1"/>
        <v>407</v>
      </c>
      <c r="H77" s="18" t="s">
        <v>18</v>
      </c>
      <c r="I77" s="18">
        <v>1072</v>
      </c>
      <c r="J77" s="28" t="s">
        <v>228</v>
      </c>
      <c r="K77" s="27">
        <v>4054</v>
      </c>
      <c r="L77" s="27"/>
    </row>
    <row r="78" s="4" customFormat="1" ht="33" customHeight="1" spans="1:12">
      <c r="A78" s="23"/>
      <c r="B78" s="24"/>
      <c r="C78" s="14" t="s">
        <v>249</v>
      </c>
      <c r="D78" s="15" t="s">
        <v>250</v>
      </c>
      <c r="E78" s="16">
        <v>3</v>
      </c>
      <c r="F78" s="17" t="s">
        <v>59</v>
      </c>
      <c r="G78" s="18">
        <f t="shared" si="1"/>
        <v>36</v>
      </c>
      <c r="H78" s="18" t="s">
        <v>18</v>
      </c>
      <c r="I78" s="18">
        <v>1072</v>
      </c>
      <c r="J78" s="28" t="s">
        <v>228</v>
      </c>
      <c r="K78" s="27">
        <v>4054</v>
      </c>
      <c r="L78" s="27"/>
    </row>
    <row r="79" s="4" customFormat="1" ht="33" customHeight="1" spans="1:12">
      <c r="A79" s="23"/>
      <c r="B79" s="24"/>
      <c r="C79" s="14" t="s">
        <v>251</v>
      </c>
      <c r="D79" s="15" t="s">
        <v>252</v>
      </c>
      <c r="E79" s="16">
        <v>1</v>
      </c>
      <c r="F79" s="17" t="s">
        <v>65</v>
      </c>
      <c r="G79" s="18">
        <f t="shared" si="1"/>
        <v>187</v>
      </c>
      <c r="H79" s="18" t="s">
        <v>18</v>
      </c>
      <c r="I79" s="18">
        <v>1072</v>
      </c>
      <c r="J79" s="28" t="s">
        <v>228</v>
      </c>
      <c r="K79" s="27">
        <v>4054</v>
      </c>
      <c r="L79" s="27"/>
    </row>
    <row r="80" s="4" customFormat="1" ht="33" customHeight="1" spans="1:12">
      <c r="A80" s="23"/>
      <c r="B80" s="24"/>
      <c r="C80" s="14" t="s">
        <v>110</v>
      </c>
      <c r="D80" s="15" t="s">
        <v>111</v>
      </c>
      <c r="E80" s="16">
        <v>4</v>
      </c>
      <c r="F80" s="17" t="s">
        <v>180</v>
      </c>
      <c r="G80" s="18">
        <f t="shared" si="1"/>
        <v>28</v>
      </c>
      <c r="H80" s="18" t="s">
        <v>18</v>
      </c>
      <c r="I80" s="18">
        <v>1072</v>
      </c>
      <c r="J80" s="28" t="s">
        <v>228</v>
      </c>
      <c r="K80" s="27">
        <v>4054</v>
      </c>
      <c r="L80" s="27"/>
    </row>
    <row r="81" s="4" customFormat="1" ht="33" customHeight="1" spans="1:12">
      <c r="A81" s="23"/>
      <c r="B81" s="24"/>
      <c r="C81" s="14" t="s">
        <v>253</v>
      </c>
      <c r="D81" s="15" t="s">
        <v>254</v>
      </c>
      <c r="E81" s="16">
        <v>1</v>
      </c>
      <c r="F81" s="17" t="s">
        <v>255</v>
      </c>
      <c r="G81" s="18">
        <f t="shared" si="1"/>
        <v>308</v>
      </c>
      <c r="H81" s="18" t="s">
        <v>18</v>
      </c>
      <c r="I81" s="18">
        <v>1072</v>
      </c>
      <c r="J81" s="28" t="s">
        <v>228</v>
      </c>
      <c r="K81" s="27">
        <v>4054</v>
      </c>
      <c r="L81" s="27"/>
    </row>
    <row r="82" s="4" customFormat="1" ht="33" customHeight="1" spans="1:12">
      <c r="A82" s="23"/>
      <c r="B82" s="24"/>
      <c r="C82" s="14" t="s">
        <v>256</v>
      </c>
      <c r="D82" s="15" t="s">
        <v>257</v>
      </c>
      <c r="E82" s="16">
        <v>3</v>
      </c>
      <c r="F82" s="17" t="s">
        <v>65</v>
      </c>
      <c r="G82" s="18">
        <f t="shared" si="1"/>
        <v>561</v>
      </c>
      <c r="H82" s="18" t="s">
        <v>18</v>
      </c>
      <c r="I82" s="18">
        <v>1072</v>
      </c>
      <c r="J82" s="28" t="s">
        <v>228</v>
      </c>
      <c r="K82" s="27">
        <v>4054</v>
      </c>
      <c r="L82" s="27"/>
    </row>
    <row r="83" s="4" customFormat="1" ht="33" customHeight="1" spans="1:12">
      <c r="A83" s="23"/>
      <c r="B83" s="24"/>
      <c r="C83" s="14" t="s">
        <v>258</v>
      </c>
      <c r="D83" s="15" t="s">
        <v>259</v>
      </c>
      <c r="E83" s="16">
        <v>1</v>
      </c>
      <c r="F83" s="17" t="s">
        <v>260</v>
      </c>
      <c r="G83" s="18">
        <f t="shared" si="1"/>
        <v>297</v>
      </c>
      <c r="H83" s="18" t="s">
        <v>18</v>
      </c>
      <c r="I83" s="18">
        <v>1072</v>
      </c>
      <c r="J83" s="28" t="s">
        <v>228</v>
      </c>
      <c r="K83" s="27">
        <v>4054</v>
      </c>
      <c r="L83" s="27"/>
    </row>
    <row r="84" s="4" customFormat="1" ht="33" customHeight="1" spans="1:12">
      <c r="A84" s="21"/>
      <c r="B84" s="22"/>
      <c r="C84" s="14" t="s">
        <v>261</v>
      </c>
      <c r="D84" s="14" t="s">
        <v>262</v>
      </c>
      <c r="E84" s="16">
        <v>1</v>
      </c>
      <c r="F84" s="17" t="s">
        <v>263</v>
      </c>
      <c r="G84" s="18">
        <f t="shared" si="1"/>
        <v>535</v>
      </c>
      <c r="H84" s="18" t="s">
        <v>18</v>
      </c>
      <c r="I84" s="18">
        <v>1072</v>
      </c>
      <c r="J84" s="28" t="s">
        <v>228</v>
      </c>
      <c r="K84" s="27">
        <v>4054</v>
      </c>
      <c r="L84" s="27"/>
    </row>
    <row r="85" s="4" customFormat="1" ht="33" customHeight="1" spans="1:12">
      <c r="A85" s="14">
        <v>376628</v>
      </c>
      <c r="B85" s="15" t="s">
        <v>264</v>
      </c>
      <c r="C85" s="14" t="s">
        <v>265</v>
      </c>
      <c r="D85" s="14" t="s">
        <v>266</v>
      </c>
      <c r="E85" s="16">
        <v>1</v>
      </c>
      <c r="F85" s="17" t="s">
        <v>267</v>
      </c>
      <c r="G85" s="18">
        <f t="shared" si="1"/>
        <v>611</v>
      </c>
      <c r="H85" s="18" t="s">
        <v>18</v>
      </c>
      <c r="I85" s="18">
        <v>1072</v>
      </c>
      <c r="J85" s="18" t="s">
        <v>268</v>
      </c>
      <c r="K85" s="27">
        <v>4089</v>
      </c>
      <c r="L85" s="27"/>
    </row>
    <row r="86" s="4" customFormat="1" ht="33" customHeight="1" spans="1:12">
      <c r="A86" s="14">
        <v>376720</v>
      </c>
      <c r="B86" s="15" t="s">
        <v>269</v>
      </c>
      <c r="C86" s="14" t="s">
        <v>270</v>
      </c>
      <c r="D86" s="14" t="s">
        <v>271</v>
      </c>
      <c r="E86" s="16">
        <v>1</v>
      </c>
      <c r="F86" s="17" t="s">
        <v>272</v>
      </c>
      <c r="G86" s="18">
        <f t="shared" si="1"/>
        <v>948</v>
      </c>
      <c r="H86" s="18" t="s">
        <v>18</v>
      </c>
      <c r="I86" s="18">
        <v>1072</v>
      </c>
      <c r="J86" s="18" t="s">
        <v>273</v>
      </c>
      <c r="K86" s="27">
        <v>4038</v>
      </c>
      <c r="L86" s="27"/>
    </row>
    <row r="87" s="4" customFormat="1" ht="33" customHeight="1" spans="1:12">
      <c r="A87" s="14">
        <v>376750</v>
      </c>
      <c r="B87" s="15" t="s">
        <v>274</v>
      </c>
      <c r="C87" s="14" t="s">
        <v>275</v>
      </c>
      <c r="D87" s="14" t="s">
        <v>276</v>
      </c>
      <c r="E87" s="16">
        <v>1</v>
      </c>
      <c r="F87" s="17" t="s">
        <v>104</v>
      </c>
      <c r="G87" s="18">
        <f t="shared" si="1"/>
        <v>366</v>
      </c>
      <c r="H87" s="18" t="s">
        <v>18</v>
      </c>
      <c r="I87" s="18">
        <v>1072</v>
      </c>
      <c r="J87" s="18" t="s">
        <v>277</v>
      </c>
      <c r="K87" s="27">
        <v>4143</v>
      </c>
      <c r="L87" s="27"/>
    </row>
    <row r="88" s="4" customFormat="1" ht="33" customHeight="1" spans="1:12">
      <c r="A88" s="19">
        <v>376790</v>
      </c>
      <c r="B88" s="20" t="s">
        <v>278</v>
      </c>
      <c r="C88" s="14" t="s">
        <v>279</v>
      </c>
      <c r="D88" s="14" t="s">
        <v>280</v>
      </c>
      <c r="E88" s="16">
        <v>1</v>
      </c>
      <c r="F88" s="17" t="s">
        <v>267</v>
      </c>
      <c r="G88" s="18">
        <f t="shared" si="1"/>
        <v>611</v>
      </c>
      <c r="H88" s="18" t="s">
        <v>18</v>
      </c>
      <c r="I88" s="18">
        <v>1072</v>
      </c>
      <c r="J88" s="28" t="s">
        <v>281</v>
      </c>
      <c r="K88" s="27">
        <v>4058</v>
      </c>
      <c r="L88" s="27"/>
    </row>
    <row r="89" s="4" customFormat="1" ht="33" customHeight="1" spans="1:12">
      <c r="A89" s="21"/>
      <c r="B89" s="22"/>
      <c r="C89" s="14" t="s">
        <v>265</v>
      </c>
      <c r="D89" s="14" t="s">
        <v>266</v>
      </c>
      <c r="E89" s="16">
        <v>1</v>
      </c>
      <c r="F89" s="17" t="s">
        <v>267</v>
      </c>
      <c r="G89" s="18">
        <f t="shared" si="1"/>
        <v>611</v>
      </c>
      <c r="H89" s="18" t="s">
        <v>18</v>
      </c>
      <c r="I89" s="18">
        <v>1072</v>
      </c>
      <c r="J89" s="28" t="s">
        <v>281</v>
      </c>
      <c r="K89" s="27">
        <v>4058</v>
      </c>
      <c r="L89" s="27"/>
    </row>
    <row r="90" s="4" customFormat="1" ht="33" customHeight="1" spans="1:12">
      <c r="A90" s="19">
        <v>376833</v>
      </c>
      <c r="B90" s="20" t="s">
        <v>282</v>
      </c>
      <c r="C90" s="14" t="s">
        <v>283</v>
      </c>
      <c r="D90" s="15" t="s">
        <v>284</v>
      </c>
      <c r="E90" s="16">
        <v>2</v>
      </c>
      <c r="F90" s="17" t="s">
        <v>56</v>
      </c>
      <c r="G90" s="18">
        <f t="shared" si="1"/>
        <v>48</v>
      </c>
      <c r="H90" s="18" t="s">
        <v>18</v>
      </c>
      <c r="I90" s="18">
        <v>1072</v>
      </c>
      <c r="J90" s="28" t="s">
        <v>285</v>
      </c>
      <c r="K90" s="27">
        <v>4156</v>
      </c>
      <c r="L90" s="27"/>
    </row>
    <row r="91" s="4" customFormat="1" ht="33" customHeight="1" spans="1:12">
      <c r="A91" s="23"/>
      <c r="B91" s="24"/>
      <c r="C91" s="14" t="s">
        <v>286</v>
      </c>
      <c r="D91" s="15" t="s">
        <v>287</v>
      </c>
      <c r="E91" s="16">
        <v>1</v>
      </c>
      <c r="F91" s="17" t="s">
        <v>288</v>
      </c>
      <c r="G91" s="18">
        <f t="shared" si="1"/>
        <v>688</v>
      </c>
      <c r="H91" s="18" t="s">
        <v>18</v>
      </c>
      <c r="I91" s="18">
        <v>1072</v>
      </c>
      <c r="J91" s="28" t="s">
        <v>285</v>
      </c>
      <c r="K91" s="27">
        <v>4156</v>
      </c>
      <c r="L91" s="27"/>
    </row>
    <row r="92" s="4" customFormat="1" ht="33" customHeight="1" spans="1:12">
      <c r="A92" s="23"/>
      <c r="B92" s="24"/>
      <c r="C92" s="14" t="s">
        <v>289</v>
      </c>
      <c r="D92" s="15" t="s">
        <v>290</v>
      </c>
      <c r="E92" s="16">
        <v>1</v>
      </c>
      <c r="F92" s="17" t="s">
        <v>291</v>
      </c>
      <c r="G92" s="18">
        <f t="shared" si="1"/>
        <v>198</v>
      </c>
      <c r="H92" s="18" t="s">
        <v>18</v>
      </c>
      <c r="I92" s="18">
        <v>1072</v>
      </c>
      <c r="J92" s="28" t="s">
        <v>285</v>
      </c>
      <c r="K92" s="27">
        <v>4156</v>
      </c>
      <c r="L92" s="27"/>
    </row>
    <row r="93" s="4" customFormat="1" ht="33" customHeight="1" spans="1:12">
      <c r="A93" s="23"/>
      <c r="B93" s="24"/>
      <c r="C93" s="14" t="s">
        <v>249</v>
      </c>
      <c r="D93" s="15" t="s">
        <v>250</v>
      </c>
      <c r="E93" s="16">
        <v>6</v>
      </c>
      <c r="F93" s="17" t="s">
        <v>59</v>
      </c>
      <c r="G93" s="18">
        <f t="shared" si="1"/>
        <v>72</v>
      </c>
      <c r="H93" s="18" t="s">
        <v>18</v>
      </c>
      <c r="I93" s="18">
        <v>1072</v>
      </c>
      <c r="J93" s="28" t="s">
        <v>285</v>
      </c>
      <c r="K93" s="27">
        <v>4156</v>
      </c>
      <c r="L93" s="27"/>
    </row>
    <row r="94" s="4" customFormat="1" ht="33" customHeight="1" spans="1:12">
      <c r="A94" s="23"/>
      <c r="B94" s="24"/>
      <c r="C94" s="14" t="s">
        <v>292</v>
      </c>
      <c r="D94" s="15" t="s">
        <v>293</v>
      </c>
      <c r="E94" s="16">
        <v>1</v>
      </c>
      <c r="F94" s="17" t="s">
        <v>180</v>
      </c>
      <c r="G94" s="18">
        <f t="shared" si="1"/>
        <v>7</v>
      </c>
      <c r="H94" s="18" t="s">
        <v>18</v>
      </c>
      <c r="I94" s="18">
        <v>1072</v>
      </c>
      <c r="J94" s="28" t="s">
        <v>285</v>
      </c>
      <c r="K94" s="27">
        <v>4156</v>
      </c>
      <c r="L94" s="27"/>
    </row>
    <row r="95" s="4" customFormat="1" ht="33" customHeight="1" spans="1:12">
      <c r="A95" s="23"/>
      <c r="B95" s="24"/>
      <c r="C95" s="14" t="s">
        <v>294</v>
      </c>
      <c r="D95" s="15" t="s">
        <v>295</v>
      </c>
      <c r="E95" s="16">
        <v>2</v>
      </c>
      <c r="F95" s="17" t="s">
        <v>59</v>
      </c>
      <c r="G95" s="18">
        <f t="shared" si="1"/>
        <v>24</v>
      </c>
      <c r="H95" s="18" t="s">
        <v>18</v>
      </c>
      <c r="I95" s="18">
        <v>1072</v>
      </c>
      <c r="J95" s="28" t="s">
        <v>285</v>
      </c>
      <c r="K95" s="27">
        <v>4156</v>
      </c>
      <c r="L95" s="27"/>
    </row>
    <row r="96" s="4" customFormat="1" ht="33" customHeight="1" spans="1:12">
      <c r="A96" s="23"/>
      <c r="B96" s="24"/>
      <c r="C96" s="14" t="s">
        <v>106</v>
      </c>
      <c r="D96" s="15" t="s">
        <v>107</v>
      </c>
      <c r="E96" s="16">
        <v>1</v>
      </c>
      <c r="F96" s="17" t="s">
        <v>296</v>
      </c>
      <c r="G96" s="18">
        <f t="shared" si="1"/>
        <v>55</v>
      </c>
      <c r="H96" s="18" t="s">
        <v>18</v>
      </c>
      <c r="I96" s="18">
        <v>1072</v>
      </c>
      <c r="J96" s="28" t="s">
        <v>285</v>
      </c>
      <c r="K96" s="27">
        <v>4156</v>
      </c>
      <c r="L96" s="27"/>
    </row>
    <row r="97" s="4" customFormat="1" ht="33" customHeight="1" spans="1:12">
      <c r="A97" s="23"/>
      <c r="B97" s="24"/>
      <c r="C97" s="14" t="s">
        <v>251</v>
      </c>
      <c r="D97" s="15" t="s">
        <v>252</v>
      </c>
      <c r="E97" s="16">
        <v>1</v>
      </c>
      <c r="F97" s="17" t="s">
        <v>65</v>
      </c>
      <c r="G97" s="18">
        <f t="shared" si="1"/>
        <v>187</v>
      </c>
      <c r="H97" s="18" t="s">
        <v>18</v>
      </c>
      <c r="I97" s="18">
        <v>1072</v>
      </c>
      <c r="J97" s="28" t="s">
        <v>285</v>
      </c>
      <c r="K97" s="27">
        <v>4156</v>
      </c>
      <c r="L97" s="27"/>
    </row>
    <row r="98" s="4" customFormat="1" ht="33" customHeight="1" spans="1:12">
      <c r="A98" s="23"/>
      <c r="B98" s="24"/>
      <c r="C98" s="14" t="s">
        <v>110</v>
      </c>
      <c r="D98" s="15" t="s">
        <v>111</v>
      </c>
      <c r="E98" s="16">
        <v>4</v>
      </c>
      <c r="F98" s="17" t="s">
        <v>180</v>
      </c>
      <c r="G98" s="18">
        <f t="shared" si="1"/>
        <v>28</v>
      </c>
      <c r="H98" s="18" t="s">
        <v>18</v>
      </c>
      <c r="I98" s="18">
        <v>1072</v>
      </c>
      <c r="J98" s="28" t="s">
        <v>285</v>
      </c>
      <c r="K98" s="27">
        <v>4156</v>
      </c>
      <c r="L98" s="27"/>
    </row>
    <row r="99" s="4" customFormat="1" ht="33" customHeight="1" spans="1:12">
      <c r="A99" s="23"/>
      <c r="B99" s="24"/>
      <c r="C99" s="14" t="s">
        <v>297</v>
      </c>
      <c r="D99" s="15" t="s">
        <v>298</v>
      </c>
      <c r="E99" s="16">
        <v>1</v>
      </c>
      <c r="F99" s="17" t="s">
        <v>299</v>
      </c>
      <c r="G99" s="18">
        <f t="shared" si="1"/>
        <v>545</v>
      </c>
      <c r="H99" s="18" t="s">
        <v>18</v>
      </c>
      <c r="I99" s="18">
        <v>1072</v>
      </c>
      <c r="J99" s="28" t="s">
        <v>285</v>
      </c>
      <c r="K99" s="27">
        <v>4156</v>
      </c>
      <c r="L99" s="27"/>
    </row>
    <row r="100" s="4" customFormat="1" ht="33" customHeight="1" spans="1:12">
      <c r="A100" s="23"/>
      <c r="B100" s="24"/>
      <c r="C100" s="14" t="s">
        <v>300</v>
      </c>
      <c r="D100" s="15" t="s">
        <v>301</v>
      </c>
      <c r="E100" s="16">
        <v>8</v>
      </c>
      <c r="F100" s="17" t="s">
        <v>302</v>
      </c>
      <c r="G100" s="18">
        <f t="shared" si="1"/>
        <v>2776</v>
      </c>
      <c r="H100" s="18" t="s">
        <v>18</v>
      </c>
      <c r="I100" s="18">
        <v>1072</v>
      </c>
      <c r="J100" s="28" t="s">
        <v>285</v>
      </c>
      <c r="K100" s="27">
        <v>4156</v>
      </c>
      <c r="L100" s="27"/>
    </row>
    <row r="101" s="4" customFormat="1" ht="33" customHeight="1" spans="1:12">
      <c r="A101" s="23"/>
      <c r="B101" s="24"/>
      <c r="C101" s="14" t="s">
        <v>303</v>
      </c>
      <c r="D101" s="15" t="s">
        <v>304</v>
      </c>
      <c r="E101" s="16">
        <v>1</v>
      </c>
      <c r="F101" s="17" t="s">
        <v>302</v>
      </c>
      <c r="G101" s="18">
        <f t="shared" si="1"/>
        <v>347</v>
      </c>
      <c r="H101" s="18" t="s">
        <v>18</v>
      </c>
      <c r="I101" s="18">
        <v>1072</v>
      </c>
      <c r="J101" s="28" t="s">
        <v>285</v>
      </c>
      <c r="K101" s="27">
        <v>4156</v>
      </c>
      <c r="L101" s="27"/>
    </row>
    <row r="102" s="4" customFormat="1" ht="33" customHeight="1" spans="1:12">
      <c r="A102" s="23"/>
      <c r="B102" s="24"/>
      <c r="C102" s="14" t="s">
        <v>305</v>
      </c>
      <c r="D102" s="15" t="s">
        <v>306</v>
      </c>
      <c r="E102" s="16">
        <v>5</v>
      </c>
      <c r="F102" s="17" t="s">
        <v>307</v>
      </c>
      <c r="G102" s="18">
        <f t="shared" si="1"/>
        <v>2615</v>
      </c>
      <c r="H102" s="18" t="s">
        <v>18</v>
      </c>
      <c r="I102" s="18">
        <v>1072</v>
      </c>
      <c r="J102" s="28" t="s">
        <v>285</v>
      </c>
      <c r="K102" s="27">
        <v>4156</v>
      </c>
      <c r="L102" s="27"/>
    </row>
    <row r="103" s="4" customFormat="1" ht="33" customHeight="1" spans="1:12">
      <c r="A103" s="23"/>
      <c r="B103" s="24"/>
      <c r="C103" s="14" t="s">
        <v>308</v>
      </c>
      <c r="D103" s="15" t="s">
        <v>309</v>
      </c>
      <c r="E103" s="16">
        <v>2</v>
      </c>
      <c r="F103" s="17" t="s">
        <v>310</v>
      </c>
      <c r="G103" s="18">
        <f t="shared" si="1"/>
        <v>4</v>
      </c>
      <c r="H103" s="18" t="s">
        <v>18</v>
      </c>
      <c r="I103" s="18">
        <v>1072</v>
      </c>
      <c r="J103" s="28" t="s">
        <v>285</v>
      </c>
      <c r="K103" s="27">
        <v>4156</v>
      </c>
      <c r="L103" s="27"/>
    </row>
    <row r="104" s="4" customFormat="1" ht="33" customHeight="1" spans="1:12">
      <c r="A104" s="23"/>
      <c r="B104" s="24"/>
      <c r="C104" s="14" t="s">
        <v>311</v>
      </c>
      <c r="D104" s="15" t="s">
        <v>312</v>
      </c>
      <c r="E104" s="16">
        <v>1</v>
      </c>
      <c r="F104" s="17" t="s">
        <v>313</v>
      </c>
      <c r="G104" s="18">
        <f t="shared" si="1"/>
        <v>655</v>
      </c>
      <c r="H104" s="18" t="s">
        <v>18</v>
      </c>
      <c r="I104" s="18">
        <v>1072</v>
      </c>
      <c r="J104" s="28" t="s">
        <v>285</v>
      </c>
      <c r="K104" s="27">
        <v>4156</v>
      </c>
      <c r="L104" s="27"/>
    </row>
    <row r="105" s="4" customFormat="1" ht="33" customHeight="1" spans="1:12">
      <c r="A105" s="23"/>
      <c r="B105" s="24"/>
      <c r="C105" s="14" t="s">
        <v>314</v>
      </c>
      <c r="D105" s="15" t="s">
        <v>315</v>
      </c>
      <c r="E105" s="16">
        <v>1</v>
      </c>
      <c r="F105" s="17" t="s">
        <v>183</v>
      </c>
      <c r="G105" s="18">
        <f t="shared" si="1"/>
        <v>4</v>
      </c>
      <c r="H105" s="18" t="s">
        <v>18</v>
      </c>
      <c r="I105" s="18">
        <v>1072</v>
      </c>
      <c r="J105" s="28" t="s">
        <v>285</v>
      </c>
      <c r="K105" s="27">
        <v>4156</v>
      </c>
      <c r="L105" s="27"/>
    </row>
    <row r="106" s="4" customFormat="1" ht="33" customHeight="1" spans="1:12">
      <c r="A106" s="21"/>
      <c r="B106" s="22"/>
      <c r="C106" s="14" t="s">
        <v>316</v>
      </c>
      <c r="D106" s="15" t="s">
        <v>317</v>
      </c>
      <c r="E106" s="16">
        <v>2</v>
      </c>
      <c r="F106" s="17" t="s">
        <v>310</v>
      </c>
      <c r="G106" s="18">
        <f t="shared" si="1"/>
        <v>4</v>
      </c>
      <c r="H106" s="18" t="s">
        <v>18</v>
      </c>
      <c r="I106" s="18">
        <v>1072</v>
      </c>
      <c r="J106" s="28" t="s">
        <v>285</v>
      </c>
      <c r="K106" s="27">
        <v>4156</v>
      </c>
      <c r="L106" s="27"/>
    </row>
    <row r="107" s="4" customFormat="1" ht="33" customHeight="1" spans="1:12">
      <c r="A107" s="14">
        <v>376901</v>
      </c>
      <c r="B107" s="15" t="s">
        <v>318</v>
      </c>
      <c r="C107" s="14" t="s">
        <v>319</v>
      </c>
      <c r="D107" s="15" t="s">
        <v>320</v>
      </c>
      <c r="E107" s="16">
        <v>1</v>
      </c>
      <c r="F107" s="17" t="s">
        <v>321</v>
      </c>
      <c r="G107" s="18">
        <f t="shared" si="1"/>
        <v>220</v>
      </c>
      <c r="H107" s="18" t="s">
        <v>18</v>
      </c>
      <c r="I107" s="18">
        <v>1072</v>
      </c>
      <c r="J107" s="18" t="s">
        <v>322</v>
      </c>
      <c r="K107" s="27">
        <v>4032</v>
      </c>
      <c r="L107" s="27"/>
    </row>
    <row r="108" s="4" customFormat="1" ht="33" customHeight="1" spans="1:12">
      <c r="A108" s="14">
        <v>376917</v>
      </c>
      <c r="B108" s="15" t="s">
        <v>323</v>
      </c>
      <c r="C108" s="14" t="s">
        <v>324</v>
      </c>
      <c r="D108" s="15" t="s">
        <v>325</v>
      </c>
      <c r="E108" s="16">
        <v>2</v>
      </c>
      <c r="F108" s="17" t="s">
        <v>326</v>
      </c>
      <c r="G108" s="18">
        <f t="shared" si="1"/>
        <v>486</v>
      </c>
      <c r="H108" s="18" t="s">
        <v>18</v>
      </c>
      <c r="I108" s="18">
        <v>1072</v>
      </c>
      <c r="J108" s="18" t="s">
        <v>273</v>
      </c>
      <c r="K108" s="27">
        <v>4038</v>
      </c>
      <c r="L108" s="27"/>
    </row>
    <row r="109" s="4" customFormat="1" ht="33" customHeight="1" spans="1:12">
      <c r="A109" s="14">
        <v>376923</v>
      </c>
      <c r="B109" s="15" t="s">
        <v>327</v>
      </c>
      <c r="C109" s="14" t="s">
        <v>328</v>
      </c>
      <c r="D109" s="15" t="s">
        <v>329</v>
      </c>
      <c r="E109" s="16">
        <v>1</v>
      </c>
      <c r="F109" s="17" t="s">
        <v>330</v>
      </c>
      <c r="G109" s="18">
        <f t="shared" si="1"/>
        <v>97</v>
      </c>
      <c r="H109" s="18" t="s">
        <v>18</v>
      </c>
      <c r="I109" s="18">
        <v>1072</v>
      </c>
      <c r="J109" s="18" t="s">
        <v>32</v>
      </c>
      <c r="K109" s="27">
        <v>4049</v>
      </c>
      <c r="L109" s="27"/>
    </row>
    <row r="110" s="4" customFormat="1" ht="33" customHeight="1" spans="1:12">
      <c r="A110" s="14">
        <v>376929</v>
      </c>
      <c r="B110" s="15" t="s">
        <v>331</v>
      </c>
      <c r="C110" s="14" t="s">
        <v>332</v>
      </c>
      <c r="D110" s="14" t="s">
        <v>333</v>
      </c>
      <c r="E110" s="16">
        <v>1</v>
      </c>
      <c r="F110" s="17" t="s">
        <v>334</v>
      </c>
      <c r="G110" s="18">
        <f t="shared" si="1"/>
        <v>1132</v>
      </c>
      <c r="H110" s="18" t="s">
        <v>18</v>
      </c>
      <c r="I110" s="18">
        <v>1072</v>
      </c>
      <c r="J110" s="18" t="s">
        <v>335</v>
      </c>
      <c r="K110" s="27">
        <v>4040</v>
      </c>
      <c r="L110" s="27"/>
    </row>
    <row r="111" s="4" customFormat="1" ht="33" customHeight="1" spans="1:12">
      <c r="A111" s="19">
        <v>377003</v>
      </c>
      <c r="B111" s="20" t="s">
        <v>336</v>
      </c>
      <c r="C111" s="14" t="s">
        <v>337</v>
      </c>
      <c r="D111" s="15" t="s">
        <v>338</v>
      </c>
      <c r="E111" s="16">
        <v>2</v>
      </c>
      <c r="F111" s="17" t="s">
        <v>115</v>
      </c>
      <c r="G111" s="18">
        <f t="shared" si="1"/>
        <v>400</v>
      </c>
      <c r="H111" s="18" t="s">
        <v>18</v>
      </c>
      <c r="I111" s="18">
        <v>1072</v>
      </c>
      <c r="J111" s="28" t="s">
        <v>339</v>
      </c>
      <c r="K111" s="27">
        <v>4158</v>
      </c>
      <c r="L111" s="27"/>
    </row>
    <row r="112" s="4" customFormat="1" ht="33" customHeight="1" spans="1:12">
      <c r="A112" s="21"/>
      <c r="B112" s="22"/>
      <c r="C112" s="14" t="s">
        <v>340</v>
      </c>
      <c r="D112" s="14" t="s">
        <v>341</v>
      </c>
      <c r="E112" s="16">
        <v>1</v>
      </c>
      <c r="F112" s="17" t="s">
        <v>342</v>
      </c>
      <c r="G112" s="18">
        <f t="shared" si="1"/>
        <v>242</v>
      </c>
      <c r="H112" s="18" t="s">
        <v>18</v>
      </c>
      <c r="I112" s="18">
        <v>1072</v>
      </c>
      <c r="J112" s="28" t="s">
        <v>339</v>
      </c>
      <c r="K112" s="27">
        <v>4158</v>
      </c>
      <c r="L112" s="27"/>
    </row>
    <row r="113" s="4" customFormat="1" ht="33" customHeight="1" spans="1:12">
      <c r="A113" s="14">
        <v>377050</v>
      </c>
      <c r="B113" s="15" t="s">
        <v>343</v>
      </c>
      <c r="C113" s="14" t="s">
        <v>344</v>
      </c>
      <c r="D113" s="14" t="s">
        <v>345</v>
      </c>
      <c r="E113" s="16">
        <v>1</v>
      </c>
      <c r="F113" s="17" t="s">
        <v>346</v>
      </c>
      <c r="G113" s="18">
        <f t="shared" si="1"/>
        <v>592</v>
      </c>
      <c r="H113" s="18" t="s">
        <v>18</v>
      </c>
      <c r="I113" s="18">
        <v>1072</v>
      </c>
      <c r="J113" s="18" t="s">
        <v>150</v>
      </c>
      <c r="K113" s="27">
        <v>4043</v>
      </c>
      <c r="L113" s="27"/>
    </row>
    <row r="114" s="4" customFormat="1" ht="33" customHeight="1" spans="1:12">
      <c r="A114" s="14">
        <v>377154</v>
      </c>
      <c r="B114" s="15" t="s">
        <v>347</v>
      </c>
      <c r="C114" s="14" t="s">
        <v>348</v>
      </c>
      <c r="D114" s="14" t="s">
        <v>349</v>
      </c>
      <c r="E114" s="16">
        <v>1</v>
      </c>
      <c r="F114" s="17" t="s">
        <v>255</v>
      </c>
      <c r="G114" s="18">
        <f t="shared" si="1"/>
        <v>308</v>
      </c>
      <c r="H114" s="18" t="s">
        <v>18</v>
      </c>
      <c r="I114" s="18">
        <v>1072</v>
      </c>
      <c r="J114" s="18" t="s">
        <v>73</v>
      </c>
      <c r="K114" s="27">
        <v>4055</v>
      </c>
      <c r="L114" s="27"/>
    </row>
    <row r="115" s="4" customFormat="1" ht="33" customHeight="1" spans="1:12">
      <c r="A115" s="14">
        <v>377193</v>
      </c>
      <c r="B115" s="15" t="s">
        <v>350</v>
      </c>
      <c r="C115" s="14" t="s">
        <v>63</v>
      </c>
      <c r="D115" s="14" t="s">
        <v>64</v>
      </c>
      <c r="E115" s="16">
        <v>1</v>
      </c>
      <c r="F115" s="17" t="s">
        <v>65</v>
      </c>
      <c r="G115" s="18">
        <f t="shared" si="1"/>
        <v>187</v>
      </c>
      <c r="H115" s="18" t="s">
        <v>18</v>
      </c>
      <c r="I115" s="18">
        <v>1072</v>
      </c>
      <c r="J115" s="18" t="s">
        <v>351</v>
      </c>
      <c r="K115" s="27">
        <v>4030</v>
      </c>
      <c r="L115" s="27"/>
    </row>
    <row r="116" s="4" customFormat="1" ht="33" customHeight="1" spans="1:12">
      <c r="A116" s="14">
        <v>377231</v>
      </c>
      <c r="B116" s="15" t="s">
        <v>352</v>
      </c>
      <c r="C116" s="14" t="s">
        <v>353</v>
      </c>
      <c r="D116" s="14" t="s">
        <v>354</v>
      </c>
      <c r="E116" s="16">
        <v>1</v>
      </c>
      <c r="F116" s="17" t="s">
        <v>355</v>
      </c>
      <c r="G116" s="18">
        <f t="shared" si="1"/>
        <v>477</v>
      </c>
      <c r="H116" s="18" t="s">
        <v>18</v>
      </c>
      <c r="I116" s="18">
        <v>1072</v>
      </c>
      <c r="J116" s="18" t="s">
        <v>356</v>
      </c>
      <c r="K116" s="27">
        <v>4090</v>
      </c>
      <c r="L116" s="27"/>
    </row>
    <row r="117" s="4" customFormat="1" ht="33" customHeight="1" spans="1:12">
      <c r="A117" s="14">
        <v>377301</v>
      </c>
      <c r="B117" s="15" t="s">
        <v>357</v>
      </c>
      <c r="C117" s="14" t="s">
        <v>279</v>
      </c>
      <c r="D117" s="14" t="s">
        <v>280</v>
      </c>
      <c r="E117" s="16">
        <v>1</v>
      </c>
      <c r="F117" s="17" t="s">
        <v>267</v>
      </c>
      <c r="G117" s="18">
        <f t="shared" si="1"/>
        <v>611</v>
      </c>
      <c r="H117" s="18" t="s">
        <v>18</v>
      </c>
      <c r="I117" s="18">
        <v>1072</v>
      </c>
      <c r="J117" s="18" t="s">
        <v>142</v>
      </c>
      <c r="K117" s="27">
        <v>4031</v>
      </c>
      <c r="L117" s="27"/>
    </row>
    <row r="118" s="4" customFormat="1" ht="33" customHeight="1" spans="1:12">
      <c r="A118" s="14">
        <v>377324</v>
      </c>
      <c r="B118" s="15" t="s">
        <v>358</v>
      </c>
      <c r="C118" s="14" t="s">
        <v>63</v>
      </c>
      <c r="D118" s="14" t="s">
        <v>64</v>
      </c>
      <c r="E118" s="16">
        <v>1</v>
      </c>
      <c r="F118" s="17" t="s">
        <v>65</v>
      </c>
      <c r="G118" s="18">
        <f t="shared" si="1"/>
        <v>187</v>
      </c>
      <c r="H118" s="18" t="s">
        <v>18</v>
      </c>
      <c r="I118" s="18">
        <v>1072</v>
      </c>
      <c r="J118" s="18" t="s">
        <v>351</v>
      </c>
      <c r="K118" s="27">
        <v>4030</v>
      </c>
      <c r="L118" s="27"/>
    </row>
    <row r="119" s="4" customFormat="1" ht="33" customHeight="1" spans="1:12">
      <c r="A119" s="14">
        <v>377379</v>
      </c>
      <c r="B119" s="15" t="s">
        <v>359</v>
      </c>
      <c r="C119" s="14" t="s">
        <v>360</v>
      </c>
      <c r="D119" s="15" t="s">
        <v>361</v>
      </c>
      <c r="E119" s="16">
        <v>1</v>
      </c>
      <c r="F119" s="17" t="s">
        <v>362</v>
      </c>
      <c r="G119" s="18">
        <f t="shared" si="1"/>
        <v>887</v>
      </c>
      <c r="H119" s="18" t="s">
        <v>18</v>
      </c>
      <c r="I119" s="18">
        <v>1072</v>
      </c>
      <c r="J119" s="18" t="s">
        <v>363</v>
      </c>
      <c r="K119" s="27">
        <v>4095</v>
      </c>
      <c r="L119" s="27"/>
    </row>
    <row r="120" s="4" customFormat="1" ht="33" customHeight="1" spans="1:12">
      <c r="A120" s="19">
        <v>377381</v>
      </c>
      <c r="B120" s="20" t="s">
        <v>364</v>
      </c>
      <c r="C120" s="14" t="s">
        <v>365</v>
      </c>
      <c r="D120" s="15" t="s">
        <v>366</v>
      </c>
      <c r="E120" s="16">
        <v>1</v>
      </c>
      <c r="F120" s="17" t="s">
        <v>367</v>
      </c>
      <c r="G120" s="18">
        <f t="shared" si="1"/>
        <v>31</v>
      </c>
      <c r="H120" s="18" t="s">
        <v>18</v>
      </c>
      <c r="I120" s="18">
        <v>1072</v>
      </c>
      <c r="J120" s="28" t="s">
        <v>88</v>
      </c>
      <c r="K120" s="27">
        <v>4117</v>
      </c>
      <c r="L120" s="27"/>
    </row>
    <row r="121" s="4" customFormat="1" ht="33" customHeight="1" spans="1:12">
      <c r="A121" s="21"/>
      <c r="B121" s="22"/>
      <c r="C121" s="14" t="s">
        <v>368</v>
      </c>
      <c r="D121" s="15" t="s">
        <v>369</v>
      </c>
      <c r="E121" s="16">
        <v>1</v>
      </c>
      <c r="F121" s="17" t="s">
        <v>370</v>
      </c>
      <c r="G121" s="18">
        <f t="shared" si="1"/>
        <v>38</v>
      </c>
      <c r="H121" s="18" t="s">
        <v>18</v>
      </c>
      <c r="I121" s="18">
        <v>1072</v>
      </c>
      <c r="J121" s="28" t="s">
        <v>88</v>
      </c>
      <c r="K121" s="27">
        <v>4117</v>
      </c>
      <c r="L121" s="27"/>
    </row>
    <row r="122" s="4" customFormat="1" ht="33" customHeight="1" spans="1:12">
      <c r="A122" s="19">
        <v>377425</v>
      </c>
      <c r="B122" s="20" t="s">
        <v>371</v>
      </c>
      <c r="C122" s="14" t="s">
        <v>365</v>
      </c>
      <c r="D122" s="15" t="s">
        <v>366</v>
      </c>
      <c r="E122" s="16">
        <v>1</v>
      </c>
      <c r="F122" s="17" t="s">
        <v>367</v>
      </c>
      <c r="G122" s="18">
        <f t="shared" si="1"/>
        <v>31</v>
      </c>
      <c r="H122" s="18" t="s">
        <v>18</v>
      </c>
      <c r="I122" s="18">
        <v>1072</v>
      </c>
      <c r="J122" s="28" t="s">
        <v>66</v>
      </c>
      <c r="K122" s="27">
        <v>4033</v>
      </c>
      <c r="L122" s="27"/>
    </row>
    <row r="123" s="4" customFormat="1" ht="33" customHeight="1" spans="1:12">
      <c r="A123" s="21"/>
      <c r="B123" s="22"/>
      <c r="C123" s="14" t="s">
        <v>368</v>
      </c>
      <c r="D123" s="15" t="s">
        <v>369</v>
      </c>
      <c r="E123" s="16">
        <v>1</v>
      </c>
      <c r="F123" s="17" t="s">
        <v>370</v>
      </c>
      <c r="G123" s="18">
        <f t="shared" si="1"/>
        <v>38</v>
      </c>
      <c r="H123" s="18" t="s">
        <v>18</v>
      </c>
      <c r="I123" s="18">
        <v>1072</v>
      </c>
      <c r="J123" s="28" t="s">
        <v>66</v>
      </c>
      <c r="K123" s="27">
        <v>4033</v>
      </c>
      <c r="L123" s="27"/>
    </row>
    <row r="124" s="4" customFormat="1" ht="33" customHeight="1" spans="1:12">
      <c r="A124" s="14">
        <v>377480</v>
      </c>
      <c r="B124" s="15" t="s">
        <v>372</v>
      </c>
      <c r="C124" s="14" t="s">
        <v>340</v>
      </c>
      <c r="D124" s="14" t="s">
        <v>341</v>
      </c>
      <c r="E124" s="16">
        <v>2</v>
      </c>
      <c r="F124" s="17" t="s">
        <v>342</v>
      </c>
      <c r="G124" s="18">
        <f t="shared" si="1"/>
        <v>484</v>
      </c>
      <c r="H124" s="18" t="s">
        <v>18</v>
      </c>
      <c r="I124" s="18">
        <v>1072</v>
      </c>
      <c r="J124" s="18" t="s">
        <v>101</v>
      </c>
      <c r="K124" s="27">
        <v>4029</v>
      </c>
      <c r="L124" s="27"/>
    </row>
    <row r="125" s="4" customFormat="1" ht="33" customHeight="1" spans="1:12">
      <c r="A125" s="14">
        <v>377525</v>
      </c>
      <c r="B125" s="15" t="s">
        <v>373</v>
      </c>
      <c r="C125" s="14" t="s">
        <v>374</v>
      </c>
      <c r="D125" s="14" t="s">
        <v>375</v>
      </c>
      <c r="E125" s="16">
        <v>1</v>
      </c>
      <c r="F125" s="17" t="s">
        <v>376</v>
      </c>
      <c r="G125" s="18">
        <f t="shared" si="1"/>
        <v>854</v>
      </c>
      <c r="H125" s="18" t="s">
        <v>18</v>
      </c>
      <c r="I125" s="18">
        <v>1072</v>
      </c>
      <c r="J125" s="18" t="s">
        <v>119</v>
      </c>
      <c r="K125" s="27">
        <v>4050</v>
      </c>
      <c r="L125" s="29"/>
    </row>
    <row r="126" s="4" customFormat="1" ht="33" customHeight="1" spans="1:12">
      <c r="A126" s="19">
        <v>377558</v>
      </c>
      <c r="B126" s="20" t="s">
        <v>377</v>
      </c>
      <c r="C126" s="14" t="s">
        <v>378</v>
      </c>
      <c r="D126" s="15" t="s">
        <v>379</v>
      </c>
      <c r="E126" s="16">
        <v>1</v>
      </c>
      <c r="F126" s="17" t="s">
        <v>380</v>
      </c>
      <c r="G126" s="18">
        <f t="shared" si="1"/>
        <v>146</v>
      </c>
      <c r="H126" s="18" t="s">
        <v>18</v>
      </c>
      <c r="I126" s="18">
        <v>1072</v>
      </c>
      <c r="J126" s="28" t="s">
        <v>24</v>
      </c>
      <c r="K126" s="27">
        <v>4118</v>
      </c>
      <c r="L126" s="27"/>
    </row>
    <row r="127" s="4" customFormat="1" ht="33" customHeight="1" spans="1:12">
      <c r="A127" s="21"/>
      <c r="B127" s="22"/>
      <c r="C127" s="14" t="s">
        <v>117</v>
      </c>
      <c r="D127" s="15" t="s">
        <v>118</v>
      </c>
      <c r="E127" s="16">
        <v>1</v>
      </c>
      <c r="F127" s="17" t="s">
        <v>93</v>
      </c>
      <c r="G127" s="18">
        <f t="shared" si="1"/>
        <v>11</v>
      </c>
      <c r="H127" s="18" t="s">
        <v>18</v>
      </c>
      <c r="I127" s="18">
        <v>1072</v>
      </c>
      <c r="J127" s="28" t="s">
        <v>24</v>
      </c>
      <c r="K127" s="27">
        <v>4118</v>
      </c>
      <c r="L127" s="27"/>
    </row>
    <row r="128" s="4" customFormat="1" ht="33" customHeight="1" spans="1:12">
      <c r="A128" s="14">
        <v>377590</v>
      </c>
      <c r="B128" s="15" t="s">
        <v>381</v>
      </c>
      <c r="C128" s="14" t="s">
        <v>348</v>
      </c>
      <c r="D128" s="14" t="s">
        <v>349</v>
      </c>
      <c r="E128" s="16">
        <v>3</v>
      </c>
      <c r="F128" s="17" t="s">
        <v>255</v>
      </c>
      <c r="G128" s="18">
        <f t="shared" si="1"/>
        <v>924</v>
      </c>
      <c r="H128" s="18" t="s">
        <v>18</v>
      </c>
      <c r="I128" s="18">
        <v>1072</v>
      </c>
      <c r="J128" s="18" t="s">
        <v>382</v>
      </c>
      <c r="K128" s="27">
        <v>4159</v>
      </c>
      <c r="L128" s="27"/>
    </row>
    <row r="129" s="4" customFormat="1" ht="33" customHeight="1" spans="1:12">
      <c r="A129" s="14">
        <v>377619</v>
      </c>
      <c r="B129" s="15" t="s">
        <v>383</v>
      </c>
      <c r="C129" s="14" t="s">
        <v>384</v>
      </c>
      <c r="D129" s="15" t="s">
        <v>385</v>
      </c>
      <c r="E129" s="16">
        <v>1</v>
      </c>
      <c r="F129" s="17" t="s">
        <v>386</v>
      </c>
      <c r="G129" s="18">
        <f t="shared" si="1"/>
        <v>236</v>
      </c>
      <c r="H129" s="18" t="s">
        <v>18</v>
      </c>
      <c r="I129" s="18">
        <v>1072</v>
      </c>
      <c r="J129" s="18" t="s">
        <v>351</v>
      </c>
      <c r="K129" s="27">
        <v>4030</v>
      </c>
      <c r="L129" s="27"/>
    </row>
    <row r="130" s="4" customFormat="1" ht="33" customHeight="1" spans="1:12">
      <c r="A130" s="19">
        <v>377660</v>
      </c>
      <c r="B130" s="20" t="s">
        <v>387</v>
      </c>
      <c r="C130" s="14" t="s">
        <v>63</v>
      </c>
      <c r="D130" s="14" t="s">
        <v>64</v>
      </c>
      <c r="E130" s="16">
        <v>1</v>
      </c>
      <c r="F130" s="17" t="s">
        <v>65</v>
      </c>
      <c r="G130" s="18">
        <f t="shared" si="1"/>
        <v>187</v>
      </c>
      <c r="H130" s="18" t="s">
        <v>18</v>
      </c>
      <c r="I130" s="18">
        <v>1072</v>
      </c>
      <c r="J130" s="28" t="s">
        <v>388</v>
      </c>
      <c r="K130" s="27">
        <v>4204</v>
      </c>
      <c r="L130" s="27"/>
    </row>
    <row r="131" s="4" customFormat="1" ht="33" customHeight="1" spans="1:12">
      <c r="A131" s="21"/>
      <c r="B131" s="22"/>
      <c r="C131" s="14" t="s">
        <v>63</v>
      </c>
      <c r="D131" s="14" t="s">
        <v>64</v>
      </c>
      <c r="E131" s="16">
        <v>1</v>
      </c>
      <c r="F131" s="17" t="s">
        <v>65</v>
      </c>
      <c r="G131" s="18">
        <f t="shared" si="1"/>
        <v>187</v>
      </c>
      <c r="H131" s="18" t="s">
        <v>18</v>
      </c>
      <c r="I131" s="18">
        <v>1072</v>
      </c>
      <c r="J131" s="28" t="s">
        <v>388</v>
      </c>
      <c r="K131" s="27">
        <v>4204</v>
      </c>
      <c r="L131" s="27"/>
    </row>
    <row r="132" s="4" customFormat="1" ht="33" customHeight="1" spans="1:12">
      <c r="A132" s="14">
        <v>377678</v>
      </c>
      <c r="B132" s="15" t="s">
        <v>389</v>
      </c>
      <c r="C132" s="14" t="s">
        <v>390</v>
      </c>
      <c r="D132" s="14" t="s">
        <v>391</v>
      </c>
      <c r="E132" s="16">
        <v>2</v>
      </c>
      <c r="F132" s="17" t="s">
        <v>392</v>
      </c>
      <c r="G132" s="18">
        <f t="shared" si="1"/>
        <v>264</v>
      </c>
      <c r="H132" s="18" t="s">
        <v>18</v>
      </c>
      <c r="I132" s="18">
        <v>1072</v>
      </c>
      <c r="J132" s="18" t="s">
        <v>207</v>
      </c>
      <c r="K132" s="27">
        <v>4116</v>
      </c>
      <c r="L132" s="27"/>
    </row>
    <row r="133" s="4" customFormat="1" ht="33" customHeight="1" spans="1:12">
      <c r="A133" s="14">
        <v>377681</v>
      </c>
      <c r="B133" s="15" t="s">
        <v>393</v>
      </c>
      <c r="C133" s="14" t="s">
        <v>63</v>
      </c>
      <c r="D133" s="14" t="s">
        <v>64</v>
      </c>
      <c r="E133" s="16">
        <v>2</v>
      </c>
      <c r="F133" s="17" t="s">
        <v>65</v>
      </c>
      <c r="G133" s="18">
        <f t="shared" ref="G133:G196" si="2">E133*F133</f>
        <v>374</v>
      </c>
      <c r="H133" s="18" t="s">
        <v>18</v>
      </c>
      <c r="I133" s="18">
        <v>1072</v>
      </c>
      <c r="J133" s="18" t="s">
        <v>394</v>
      </c>
      <c r="K133" s="27">
        <v>4127</v>
      </c>
      <c r="L133" s="27"/>
    </row>
    <row r="134" s="4" customFormat="1" ht="33" customHeight="1" spans="1:12">
      <c r="A134" s="14">
        <v>377695</v>
      </c>
      <c r="B134" s="20" t="s">
        <v>395</v>
      </c>
      <c r="C134" s="14" t="s">
        <v>396</v>
      </c>
      <c r="D134" s="14" t="s">
        <v>397</v>
      </c>
      <c r="E134" s="16">
        <v>2</v>
      </c>
      <c r="F134" s="17" t="s">
        <v>398</v>
      </c>
      <c r="G134" s="18">
        <f t="shared" si="2"/>
        <v>470</v>
      </c>
      <c r="H134" s="18" t="s">
        <v>18</v>
      </c>
      <c r="I134" s="18">
        <v>1072</v>
      </c>
      <c r="J134" s="28" t="s">
        <v>177</v>
      </c>
      <c r="K134" s="27">
        <v>4150</v>
      </c>
      <c r="L134" s="27"/>
    </row>
    <row r="135" s="4" customFormat="1" ht="33" customHeight="1" spans="1:12">
      <c r="A135" s="14">
        <v>377698</v>
      </c>
      <c r="B135" s="22"/>
      <c r="C135" s="14" t="s">
        <v>399</v>
      </c>
      <c r="D135" s="15" t="s">
        <v>400</v>
      </c>
      <c r="E135" s="16">
        <v>2</v>
      </c>
      <c r="F135" s="17" t="s">
        <v>401</v>
      </c>
      <c r="G135" s="18">
        <f t="shared" si="2"/>
        <v>1886</v>
      </c>
      <c r="H135" s="18" t="s">
        <v>18</v>
      </c>
      <c r="I135" s="18">
        <v>1072</v>
      </c>
      <c r="J135" s="28" t="s">
        <v>177</v>
      </c>
      <c r="K135" s="27">
        <v>4150</v>
      </c>
      <c r="L135" s="27"/>
    </row>
    <row r="136" s="4" customFormat="1" ht="33" customHeight="1" spans="1:12">
      <c r="A136" s="14">
        <v>377784</v>
      </c>
      <c r="B136" s="15" t="s">
        <v>402</v>
      </c>
      <c r="C136" s="14" t="s">
        <v>67</v>
      </c>
      <c r="D136" s="15" t="s">
        <v>68</v>
      </c>
      <c r="E136" s="16">
        <v>4</v>
      </c>
      <c r="F136" s="17" t="s">
        <v>236</v>
      </c>
      <c r="G136" s="18">
        <f t="shared" si="2"/>
        <v>320</v>
      </c>
      <c r="H136" s="18" t="s">
        <v>18</v>
      </c>
      <c r="I136" s="18">
        <v>1072</v>
      </c>
      <c r="J136" s="18" t="s">
        <v>403</v>
      </c>
      <c r="K136" s="27">
        <v>4218</v>
      </c>
      <c r="L136" s="27"/>
    </row>
    <row r="137" s="4" customFormat="1" ht="33" customHeight="1" spans="1:12">
      <c r="A137" s="14">
        <v>377785</v>
      </c>
      <c r="B137" s="15" t="s">
        <v>404</v>
      </c>
      <c r="C137" s="14" t="s">
        <v>405</v>
      </c>
      <c r="D137" s="14" t="s">
        <v>406</v>
      </c>
      <c r="E137" s="16">
        <v>1</v>
      </c>
      <c r="F137" s="17" t="s">
        <v>65</v>
      </c>
      <c r="G137" s="18">
        <f t="shared" si="2"/>
        <v>187</v>
      </c>
      <c r="H137" s="18" t="s">
        <v>18</v>
      </c>
      <c r="I137" s="18">
        <v>1072</v>
      </c>
      <c r="J137" s="18" t="s">
        <v>88</v>
      </c>
      <c r="K137" s="27">
        <v>4117</v>
      </c>
      <c r="L137" s="27"/>
    </row>
    <row r="138" s="4" customFormat="1" ht="33" customHeight="1" spans="1:12">
      <c r="A138" s="14">
        <v>377831</v>
      </c>
      <c r="B138" s="15" t="s">
        <v>407</v>
      </c>
      <c r="C138" s="14" t="s">
        <v>63</v>
      </c>
      <c r="D138" s="14" t="s">
        <v>64</v>
      </c>
      <c r="E138" s="16">
        <v>1</v>
      </c>
      <c r="F138" s="17" t="s">
        <v>65</v>
      </c>
      <c r="G138" s="18">
        <f t="shared" si="2"/>
        <v>187</v>
      </c>
      <c r="H138" s="18" t="s">
        <v>18</v>
      </c>
      <c r="I138" s="18">
        <v>1072</v>
      </c>
      <c r="J138" s="18" t="s">
        <v>408</v>
      </c>
      <c r="K138" s="27">
        <v>4026</v>
      </c>
      <c r="L138" s="27"/>
    </row>
    <row r="139" s="4" customFormat="1" ht="33" customHeight="1" spans="1:12">
      <c r="A139" s="14">
        <v>377835</v>
      </c>
      <c r="B139" s="15" t="s">
        <v>409</v>
      </c>
      <c r="C139" s="14" t="s">
        <v>348</v>
      </c>
      <c r="D139" s="14" t="s">
        <v>349</v>
      </c>
      <c r="E139" s="16">
        <v>1</v>
      </c>
      <c r="F139" s="17" t="s">
        <v>255</v>
      </c>
      <c r="G139" s="18">
        <f t="shared" si="2"/>
        <v>308</v>
      </c>
      <c r="H139" s="18" t="s">
        <v>18</v>
      </c>
      <c r="I139" s="18">
        <v>1072</v>
      </c>
      <c r="J139" s="18" t="s">
        <v>410</v>
      </c>
      <c r="K139" s="27">
        <v>4128</v>
      </c>
      <c r="L139" s="27"/>
    </row>
    <row r="140" s="4" customFormat="1" ht="33" customHeight="1" spans="1:12">
      <c r="A140" s="14">
        <v>377846</v>
      </c>
      <c r="B140" s="15" t="s">
        <v>411</v>
      </c>
      <c r="C140" s="14" t="s">
        <v>348</v>
      </c>
      <c r="D140" s="14" t="s">
        <v>349</v>
      </c>
      <c r="E140" s="16">
        <v>1</v>
      </c>
      <c r="F140" s="17" t="s">
        <v>255</v>
      </c>
      <c r="G140" s="18">
        <f t="shared" si="2"/>
        <v>308</v>
      </c>
      <c r="H140" s="18" t="s">
        <v>18</v>
      </c>
      <c r="I140" s="18">
        <v>1072</v>
      </c>
      <c r="J140" s="18" t="s">
        <v>335</v>
      </c>
      <c r="K140" s="27">
        <v>4040</v>
      </c>
      <c r="L140" s="29"/>
    </row>
    <row r="141" s="4" customFormat="1" ht="33" customHeight="1" spans="1:12">
      <c r="A141" s="14">
        <v>377888</v>
      </c>
      <c r="B141" s="15" t="s">
        <v>412</v>
      </c>
      <c r="C141" s="14" t="s">
        <v>261</v>
      </c>
      <c r="D141" s="14" t="s">
        <v>262</v>
      </c>
      <c r="E141" s="16">
        <v>1</v>
      </c>
      <c r="F141" s="17" t="s">
        <v>413</v>
      </c>
      <c r="G141" s="18">
        <f t="shared" si="2"/>
        <v>534</v>
      </c>
      <c r="H141" s="18" t="s">
        <v>18</v>
      </c>
      <c r="I141" s="18">
        <v>1072</v>
      </c>
      <c r="J141" s="18" t="s">
        <v>414</v>
      </c>
      <c r="K141" s="27">
        <v>4161</v>
      </c>
      <c r="L141" s="27"/>
    </row>
    <row r="142" s="4" customFormat="1" ht="33" customHeight="1" spans="1:12">
      <c r="A142" s="14">
        <v>377905</v>
      </c>
      <c r="B142" s="15" t="s">
        <v>395</v>
      </c>
      <c r="C142" s="14" t="s">
        <v>415</v>
      </c>
      <c r="D142" s="14" t="s">
        <v>416</v>
      </c>
      <c r="E142" s="16">
        <v>3</v>
      </c>
      <c r="F142" s="17" t="s">
        <v>417</v>
      </c>
      <c r="G142" s="18">
        <f t="shared" si="2"/>
        <v>2460</v>
      </c>
      <c r="H142" s="18" t="s">
        <v>18</v>
      </c>
      <c r="I142" s="18">
        <v>1072</v>
      </c>
      <c r="J142" s="18" t="s">
        <v>177</v>
      </c>
      <c r="K142" s="27">
        <v>4150</v>
      </c>
      <c r="L142" s="27"/>
    </row>
    <row r="143" s="4" customFormat="1" ht="33" customHeight="1" spans="1:12">
      <c r="A143" s="19">
        <v>377906</v>
      </c>
      <c r="B143" s="20" t="s">
        <v>418</v>
      </c>
      <c r="C143" s="14" t="s">
        <v>190</v>
      </c>
      <c r="D143" s="14" t="s">
        <v>191</v>
      </c>
      <c r="E143" s="16">
        <v>1</v>
      </c>
      <c r="F143" s="17" t="s">
        <v>419</v>
      </c>
      <c r="G143" s="18">
        <f t="shared" si="2"/>
        <v>450</v>
      </c>
      <c r="H143" s="18" t="s">
        <v>18</v>
      </c>
      <c r="I143" s="18">
        <v>1072</v>
      </c>
      <c r="J143" s="28" t="s">
        <v>420</v>
      </c>
      <c r="K143" s="27">
        <v>4046</v>
      </c>
      <c r="L143" s="27"/>
    </row>
    <row r="144" s="4" customFormat="1" ht="33" customHeight="1" spans="1:12">
      <c r="A144" s="21"/>
      <c r="B144" s="22"/>
      <c r="C144" s="14" t="s">
        <v>415</v>
      </c>
      <c r="D144" s="14" t="s">
        <v>416</v>
      </c>
      <c r="E144" s="16">
        <v>1</v>
      </c>
      <c r="F144" s="17" t="s">
        <v>421</v>
      </c>
      <c r="G144" s="18">
        <f t="shared" si="2"/>
        <v>600</v>
      </c>
      <c r="H144" s="18" t="s">
        <v>18</v>
      </c>
      <c r="I144" s="18">
        <v>1072</v>
      </c>
      <c r="J144" s="28" t="s">
        <v>420</v>
      </c>
      <c r="K144" s="27">
        <v>4046</v>
      </c>
      <c r="L144" s="27"/>
    </row>
    <row r="145" s="4" customFormat="1" ht="33" customHeight="1" spans="1:12">
      <c r="A145" s="19">
        <v>377922</v>
      </c>
      <c r="B145" s="20" t="s">
        <v>422</v>
      </c>
      <c r="C145" s="14" t="s">
        <v>423</v>
      </c>
      <c r="D145" s="15" t="s">
        <v>424</v>
      </c>
      <c r="E145" s="16">
        <v>1</v>
      </c>
      <c r="F145" s="17" t="s">
        <v>425</v>
      </c>
      <c r="G145" s="18">
        <f t="shared" si="2"/>
        <v>429</v>
      </c>
      <c r="H145" s="18" t="s">
        <v>18</v>
      </c>
      <c r="I145" s="18">
        <v>1072</v>
      </c>
      <c r="J145" s="28" t="s">
        <v>101</v>
      </c>
      <c r="K145" s="27">
        <v>4029</v>
      </c>
      <c r="L145" s="27"/>
    </row>
    <row r="146" s="4" customFormat="1" ht="33" customHeight="1" spans="1:12">
      <c r="A146" s="23"/>
      <c r="B146" s="24"/>
      <c r="C146" s="14" t="s">
        <v>251</v>
      </c>
      <c r="D146" s="15" t="s">
        <v>252</v>
      </c>
      <c r="E146" s="16">
        <v>1</v>
      </c>
      <c r="F146" s="17" t="s">
        <v>65</v>
      </c>
      <c r="G146" s="18">
        <f t="shared" si="2"/>
        <v>187</v>
      </c>
      <c r="H146" s="18" t="s">
        <v>18</v>
      </c>
      <c r="I146" s="18">
        <v>1072</v>
      </c>
      <c r="J146" s="28" t="s">
        <v>101</v>
      </c>
      <c r="K146" s="27">
        <v>4029</v>
      </c>
      <c r="L146" s="27"/>
    </row>
    <row r="147" s="4" customFormat="1" ht="33" customHeight="1" spans="1:12">
      <c r="A147" s="21"/>
      <c r="B147" s="22"/>
      <c r="C147" s="14" t="s">
        <v>426</v>
      </c>
      <c r="D147" s="15" t="s">
        <v>427</v>
      </c>
      <c r="E147" s="16">
        <v>1</v>
      </c>
      <c r="F147" s="17" t="s">
        <v>428</v>
      </c>
      <c r="G147" s="18">
        <f t="shared" si="2"/>
        <v>601</v>
      </c>
      <c r="H147" s="18" t="s">
        <v>18</v>
      </c>
      <c r="I147" s="18">
        <v>1072</v>
      </c>
      <c r="J147" s="28" t="s">
        <v>101</v>
      </c>
      <c r="K147" s="27">
        <v>4029</v>
      </c>
      <c r="L147" s="27"/>
    </row>
    <row r="148" s="4" customFormat="1" ht="33" customHeight="1" spans="1:12">
      <c r="A148" s="14">
        <v>377945</v>
      </c>
      <c r="B148" s="15" t="s">
        <v>429</v>
      </c>
      <c r="C148" s="14" t="s">
        <v>415</v>
      </c>
      <c r="D148" s="14" t="s">
        <v>416</v>
      </c>
      <c r="E148" s="16">
        <v>1</v>
      </c>
      <c r="F148" s="17" t="s">
        <v>413</v>
      </c>
      <c r="G148" s="18">
        <f t="shared" si="2"/>
        <v>534</v>
      </c>
      <c r="H148" s="18" t="s">
        <v>18</v>
      </c>
      <c r="I148" s="18">
        <v>1072</v>
      </c>
      <c r="J148" s="18" t="s">
        <v>420</v>
      </c>
      <c r="K148" s="27">
        <v>4046</v>
      </c>
      <c r="L148" s="27"/>
    </row>
    <row r="149" s="4" customFormat="1" ht="33" customHeight="1" spans="1:12">
      <c r="A149" s="14">
        <v>377973</v>
      </c>
      <c r="B149" s="15" t="s">
        <v>430</v>
      </c>
      <c r="C149" s="14" t="s">
        <v>431</v>
      </c>
      <c r="D149" s="14" t="s">
        <v>432</v>
      </c>
      <c r="E149" s="16">
        <v>1</v>
      </c>
      <c r="F149" s="17" t="s">
        <v>433</v>
      </c>
      <c r="G149" s="18">
        <f t="shared" si="2"/>
        <v>286</v>
      </c>
      <c r="H149" s="18" t="s">
        <v>18</v>
      </c>
      <c r="I149" s="18">
        <v>1072</v>
      </c>
      <c r="J149" s="18" t="s">
        <v>434</v>
      </c>
      <c r="K149" s="27">
        <v>4148</v>
      </c>
      <c r="L149" s="27"/>
    </row>
    <row r="150" s="4" customFormat="1" ht="33" customHeight="1" spans="1:12">
      <c r="A150" s="14">
        <v>377980</v>
      </c>
      <c r="B150" s="15" t="s">
        <v>435</v>
      </c>
      <c r="C150" s="14" t="s">
        <v>436</v>
      </c>
      <c r="D150" s="14" t="s">
        <v>437</v>
      </c>
      <c r="E150" s="16">
        <v>1</v>
      </c>
      <c r="F150" s="17" t="s">
        <v>438</v>
      </c>
      <c r="G150" s="18">
        <f t="shared" si="2"/>
        <v>465</v>
      </c>
      <c r="H150" s="18" t="s">
        <v>18</v>
      </c>
      <c r="I150" s="18">
        <v>1072</v>
      </c>
      <c r="J150" s="18" t="s">
        <v>285</v>
      </c>
      <c r="K150" s="27">
        <v>4156</v>
      </c>
      <c r="L150" s="27"/>
    </row>
    <row r="151" s="4" customFormat="1" ht="33" customHeight="1" spans="1:12">
      <c r="A151" s="14">
        <v>377993</v>
      </c>
      <c r="B151" s="15" t="s">
        <v>439</v>
      </c>
      <c r="C151" s="14" t="s">
        <v>25</v>
      </c>
      <c r="D151" s="14" t="s">
        <v>26</v>
      </c>
      <c r="E151" s="16">
        <v>1</v>
      </c>
      <c r="F151" s="17" t="s">
        <v>440</v>
      </c>
      <c r="G151" s="18">
        <f t="shared" si="2"/>
        <v>555</v>
      </c>
      <c r="H151" s="18" t="s">
        <v>18</v>
      </c>
      <c r="I151" s="18">
        <v>1072</v>
      </c>
      <c r="J151" s="18" t="s">
        <v>441</v>
      </c>
      <c r="K151" s="27">
        <v>4045</v>
      </c>
      <c r="L151" s="27"/>
    </row>
    <row r="152" s="4" customFormat="1" ht="33" customHeight="1" spans="1:12">
      <c r="A152" s="14">
        <v>378009</v>
      </c>
      <c r="B152" s="15" t="s">
        <v>442</v>
      </c>
      <c r="C152" s="14" t="s">
        <v>443</v>
      </c>
      <c r="D152" s="14" t="s">
        <v>444</v>
      </c>
      <c r="E152" s="16">
        <v>1</v>
      </c>
      <c r="F152" s="17" t="s">
        <v>392</v>
      </c>
      <c r="G152" s="18">
        <f t="shared" si="2"/>
        <v>132</v>
      </c>
      <c r="H152" s="18" t="s">
        <v>18</v>
      </c>
      <c r="I152" s="18">
        <v>1072</v>
      </c>
      <c r="J152" s="18" t="s">
        <v>142</v>
      </c>
      <c r="K152" s="27">
        <v>4031</v>
      </c>
      <c r="L152" s="27"/>
    </row>
    <row r="153" s="4" customFormat="1" ht="33" customHeight="1" spans="1:12">
      <c r="A153" s="19">
        <v>378015</v>
      </c>
      <c r="B153" s="20" t="s">
        <v>445</v>
      </c>
      <c r="C153" s="14" t="s">
        <v>110</v>
      </c>
      <c r="D153" s="15" t="s">
        <v>111</v>
      </c>
      <c r="E153" s="16">
        <v>4</v>
      </c>
      <c r="F153" s="17" t="s">
        <v>446</v>
      </c>
      <c r="G153" s="18">
        <f t="shared" si="2"/>
        <v>32</v>
      </c>
      <c r="H153" s="18" t="s">
        <v>18</v>
      </c>
      <c r="I153" s="18">
        <v>1072</v>
      </c>
      <c r="J153" s="28" t="s">
        <v>447</v>
      </c>
      <c r="K153" s="27">
        <v>4180</v>
      </c>
      <c r="L153" s="27"/>
    </row>
    <row r="154" s="4" customFormat="1" ht="33" customHeight="1" spans="1:12">
      <c r="A154" s="21"/>
      <c r="B154" s="22"/>
      <c r="C154" s="14" t="s">
        <v>190</v>
      </c>
      <c r="D154" s="14" t="s">
        <v>191</v>
      </c>
      <c r="E154" s="16">
        <v>1</v>
      </c>
      <c r="F154" s="17" t="s">
        <v>192</v>
      </c>
      <c r="G154" s="18">
        <f t="shared" si="2"/>
        <v>407</v>
      </c>
      <c r="H154" s="18" t="s">
        <v>18</v>
      </c>
      <c r="I154" s="18">
        <v>1072</v>
      </c>
      <c r="J154" s="28" t="s">
        <v>447</v>
      </c>
      <c r="K154" s="27">
        <v>4180</v>
      </c>
      <c r="L154" s="27"/>
    </row>
    <row r="155" s="4" customFormat="1" ht="33" customHeight="1" spans="1:12">
      <c r="A155" s="19">
        <v>378019</v>
      </c>
      <c r="B155" s="20" t="s">
        <v>448</v>
      </c>
      <c r="C155" s="14" t="s">
        <v>449</v>
      </c>
      <c r="D155" s="15" t="s">
        <v>450</v>
      </c>
      <c r="E155" s="16">
        <v>1</v>
      </c>
      <c r="F155" s="17" t="s">
        <v>451</v>
      </c>
      <c r="G155" s="18">
        <f t="shared" si="2"/>
        <v>154</v>
      </c>
      <c r="H155" s="18" t="s">
        <v>18</v>
      </c>
      <c r="I155" s="18">
        <v>1072</v>
      </c>
      <c r="J155" s="28" t="s">
        <v>452</v>
      </c>
      <c r="K155" s="27">
        <v>4039</v>
      </c>
      <c r="L155" s="27"/>
    </row>
    <row r="156" s="4" customFormat="1" ht="33" customHeight="1" spans="1:12">
      <c r="A156" s="23"/>
      <c r="B156" s="24"/>
      <c r="C156" s="14" t="s">
        <v>453</v>
      </c>
      <c r="D156" s="15" t="s">
        <v>454</v>
      </c>
      <c r="E156" s="16">
        <v>2</v>
      </c>
      <c r="F156" s="17" t="s">
        <v>380</v>
      </c>
      <c r="G156" s="18">
        <f t="shared" si="2"/>
        <v>292</v>
      </c>
      <c r="H156" s="18" t="s">
        <v>18</v>
      </c>
      <c r="I156" s="18">
        <v>1072</v>
      </c>
      <c r="J156" s="28" t="s">
        <v>452</v>
      </c>
      <c r="K156" s="27">
        <v>4039</v>
      </c>
      <c r="L156" s="27"/>
    </row>
    <row r="157" s="4" customFormat="1" ht="33" customHeight="1" spans="1:12">
      <c r="A157" s="23"/>
      <c r="B157" s="24"/>
      <c r="C157" s="14" t="s">
        <v>455</v>
      </c>
      <c r="D157" s="15" t="s">
        <v>456</v>
      </c>
      <c r="E157" s="16">
        <v>1</v>
      </c>
      <c r="F157" s="17" t="s">
        <v>216</v>
      </c>
      <c r="G157" s="18">
        <f t="shared" si="2"/>
        <v>171</v>
      </c>
      <c r="H157" s="18" t="s">
        <v>18</v>
      </c>
      <c r="I157" s="18">
        <v>1072</v>
      </c>
      <c r="J157" s="28" t="s">
        <v>452</v>
      </c>
      <c r="K157" s="27">
        <v>4039</v>
      </c>
      <c r="L157" s="27"/>
    </row>
    <row r="158" s="4" customFormat="1" ht="33" customHeight="1" spans="1:12">
      <c r="A158" s="23"/>
      <c r="B158" s="24"/>
      <c r="C158" s="14" t="s">
        <v>457</v>
      </c>
      <c r="D158" s="15" t="s">
        <v>458</v>
      </c>
      <c r="E158" s="16">
        <v>2</v>
      </c>
      <c r="F158" s="17" t="s">
        <v>459</v>
      </c>
      <c r="G158" s="18">
        <f t="shared" si="2"/>
        <v>290</v>
      </c>
      <c r="H158" s="18" t="s">
        <v>18</v>
      </c>
      <c r="I158" s="18">
        <v>1072</v>
      </c>
      <c r="J158" s="28" t="s">
        <v>452</v>
      </c>
      <c r="K158" s="27">
        <v>4039</v>
      </c>
      <c r="L158" s="27"/>
    </row>
    <row r="159" s="4" customFormat="1" ht="33" customHeight="1" spans="1:12">
      <c r="A159" s="23"/>
      <c r="B159" s="24"/>
      <c r="C159" s="14" t="s">
        <v>106</v>
      </c>
      <c r="D159" s="15" t="s">
        <v>107</v>
      </c>
      <c r="E159" s="16">
        <v>1</v>
      </c>
      <c r="F159" s="17" t="s">
        <v>296</v>
      </c>
      <c r="G159" s="18">
        <f t="shared" si="2"/>
        <v>55</v>
      </c>
      <c r="H159" s="18" t="s">
        <v>18</v>
      </c>
      <c r="I159" s="18">
        <v>1072</v>
      </c>
      <c r="J159" s="28" t="s">
        <v>452</v>
      </c>
      <c r="K159" s="27">
        <v>4039</v>
      </c>
      <c r="L159" s="27"/>
    </row>
    <row r="160" s="4" customFormat="1" ht="33" customHeight="1" spans="1:12">
      <c r="A160" s="23"/>
      <c r="B160" s="24"/>
      <c r="C160" s="14" t="s">
        <v>460</v>
      </c>
      <c r="D160" s="15" t="s">
        <v>461</v>
      </c>
      <c r="E160" s="16">
        <v>8</v>
      </c>
      <c r="F160" s="17" t="s">
        <v>462</v>
      </c>
      <c r="G160" s="18">
        <f t="shared" si="2"/>
        <v>400</v>
      </c>
      <c r="H160" s="18" t="s">
        <v>18</v>
      </c>
      <c r="I160" s="18">
        <v>1072</v>
      </c>
      <c r="J160" s="28" t="s">
        <v>452</v>
      </c>
      <c r="K160" s="27">
        <v>4039</v>
      </c>
      <c r="L160" s="27"/>
    </row>
    <row r="161" s="4" customFormat="1" ht="33" customHeight="1" spans="1:12">
      <c r="A161" s="23"/>
      <c r="B161" s="24"/>
      <c r="C161" s="14" t="s">
        <v>121</v>
      </c>
      <c r="D161" s="15" t="s">
        <v>122</v>
      </c>
      <c r="E161" s="16">
        <v>8</v>
      </c>
      <c r="F161" s="17" t="s">
        <v>123</v>
      </c>
      <c r="G161" s="18">
        <f t="shared" si="2"/>
        <v>576</v>
      </c>
      <c r="H161" s="18" t="s">
        <v>18</v>
      </c>
      <c r="I161" s="18">
        <v>1072</v>
      </c>
      <c r="J161" s="28" t="s">
        <v>452</v>
      </c>
      <c r="K161" s="27">
        <v>4039</v>
      </c>
      <c r="L161" s="27"/>
    </row>
    <row r="162" s="4" customFormat="1" ht="33" customHeight="1" spans="1:12">
      <c r="A162" s="23"/>
      <c r="B162" s="24"/>
      <c r="C162" s="14" t="s">
        <v>463</v>
      </c>
      <c r="D162" s="15" t="s">
        <v>464</v>
      </c>
      <c r="E162" s="16">
        <v>1</v>
      </c>
      <c r="F162" s="17" t="s">
        <v>465</v>
      </c>
      <c r="G162" s="18">
        <f t="shared" si="2"/>
        <v>818</v>
      </c>
      <c r="H162" s="18" t="s">
        <v>18</v>
      </c>
      <c r="I162" s="18">
        <v>1072</v>
      </c>
      <c r="J162" s="28" t="s">
        <v>452</v>
      </c>
      <c r="K162" s="27">
        <v>4039</v>
      </c>
      <c r="L162" s="27"/>
    </row>
    <row r="163" s="4" customFormat="1" ht="33" customHeight="1" spans="1:12">
      <c r="A163" s="23"/>
      <c r="B163" s="24"/>
      <c r="C163" s="14" t="s">
        <v>466</v>
      </c>
      <c r="D163" s="15" t="s">
        <v>467</v>
      </c>
      <c r="E163" s="16">
        <v>2</v>
      </c>
      <c r="F163" s="17" t="s">
        <v>468</v>
      </c>
      <c r="G163" s="18">
        <f t="shared" si="2"/>
        <v>1042</v>
      </c>
      <c r="H163" s="18" t="s">
        <v>18</v>
      </c>
      <c r="I163" s="18">
        <v>1072</v>
      </c>
      <c r="J163" s="28" t="s">
        <v>452</v>
      </c>
      <c r="K163" s="27">
        <v>4039</v>
      </c>
      <c r="L163" s="27"/>
    </row>
    <row r="164" s="4" customFormat="1" ht="33" customHeight="1" spans="1:12">
      <c r="A164" s="23"/>
      <c r="B164" s="24"/>
      <c r="C164" s="14" t="s">
        <v>469</v>
      </c>
      <c r="D164" s="15" t="s">
        <v>470</v>
      </c>
      <c r="E164" s="16">
        <v>1</v>
      </c>
      <c r="F164" s="17" t="s">
        <v>471</v>
      </c>
      <c r="G164" s="18">
        <f t="shared" si="2"/>
        <v>785</v>
      </c>
      <c r="H164" s="18" t="s">
        <v>18</v>
      </c>
      <c r="I164" s="18">
        <v>1072</v>
      </c>
      <c r="J164" s="28" t="s">
        <v>452</v>
      </c>
      <c r="K164" s="27">
        <v>4039</v>
      </c>
      <c r="L164" s="27"/>
    </row>
    <row r="165" s="4" customFormat="1" ht="33" customHeight="1" spans="1:12">
      <c r="A165" s="23"/>
      <c r="B165" s="24"/>
      <c r="C165" s="14" t="s">
        <v>472</v>
      </c>
      <c r="D165" s="15" t="s">
        <v>473</v>
      </c>
      <c r="E165" s="16">
        <v>2</v>
      </c>
      <c r="F165" s="17" t="s">
        <v>127</v>
      </c>
      <c r="G165" s="18">
        <f t="shared" si="2"/>
        <v>122</v>
      </c>
      <c r="H165" s="18" t="s">
        <v>18</v>
      </c>
      <c r="I165" s="18">
        <v>1072</v>
      </c>
      <c r="J165" s="28" t="s">
        <v>452</v>
      </c>
      <c r="K165" s="27">
        <v>4039</v>
      </c>
      <c r="L165" s="27"/>
    </row>
    <row r="166" s="4" customFormat="1" ht="33" customHeight="1" spans="1:12">
      <c r="A166" s="23"/>
      <c r="B166" s="24"/>
      <c r="C166" s="14" t="s">
        <v>474</v>
      </c>
      <c r="D166" s="15" t="s">
        <v>475</v>
      </c>
      <c r="E166" s="16">
        <v>3</v>
      </c>
      <c r="F166" s="17" t="s">
        <v>476</v>
      </c>
      <c r="G166" s="18">
        <f t="shared" si="2"/>
        <v>363</v>
      </c>
      <c r="H166" s="18" t="s">
        <v>18</v>
      </c>
      <c r="I166" s="18">
        <v>1072</v>
      </c>
      <c r="J166" s="28" t="s">
        <v>452</v>
      </c>
      <c r="K166" s="27">
        <v>4039</v>
      </c>
      <c r="L166" s="27"/>
    </row>
    <row r="167" s="4" customFormat="1" ht="33" customHeight="1" spans="1:12">
      <c r="A167" s="23"/>
      <c r="B167" s="24"/>
      <c r="C167" s="14" t="s">
        <v>194</v>
      </c>
      <c r="D167" s="15" t="s">
        <v>195</v>
      </c>
      <c r="E167" s="16">
        <v>5</v>
      </c>
      <c r="F167" s="17" t="s">
        <v>130</v>
      </c>
      <c r="G167" s="18">
        <f t="shared" si="2"/>
        <v>415</v>
      </c>
      <c r="H167" s="18" t="s">
        <v>18</v>
      </c>
      <c r="I167" s="18">
        <v>1072</v>
      </c>
      <c r="J167" s="28" t="s">
        <v>452</v>
      </c>
      <c r="K167" s="27">
        <v>4039</v>
      </c>
      <c r="L167" s="27"/>
    </row>
    <row r="168" s="4" customFormat="1" ht="33" customHeight="1" spans="1:12">
      <c r="A168" s="23"/>
      <c r="B168" s="24"/>
      <c r="C168" s="14" t="s">
        <v>348</v>
      </c>
      <c r="D168" s="14" t="s">
        <v>349</v>
      </c>
      <c r="E168" s="16">
        <v>2</v>
      </c>
      <c r="F168" s="17" t="s">
        <v>255</v>
      </c>
      <c r="G168" s="18">
        <f t="shared" si="2"/>
        <v>616</v>
      </c>
      <c r="H168" s="18" t="s">
        <v>18</v>
      </c>
      <c r="I168" s="18">
        <v>1072</v>
      </c>
      <c r="J168" s="28" t="s">
        <v>452</v>
      </c>
      <c r="K168" s="27">
        <v>4039</v>
      </c>
      <c r="L168" s="27"/>
    </row>
    <row r="169" s="4" customFormat="1" ht="33" customHeight="1" spans="1:12">
      <c r="A169" s="21"/>
      <c r="B169" s="22"/>
      <c r="C169" s="14" t="s">
        <v>113</v>
      </c>
      <c r="D169" s="15" t="s">
        <v>114</v>
      </c>
      <c r="E169" s="16">
        <v>1</v>
      </c>
      <c r="F169" s="17" t="s">
        <v>69</v>
      </c>
      <c r="G169" s="18">
        <f t="shared" si="2"/>
        <v>99</v>
      </c>
      <c r="H169" s="18" t="s">
        <v>18</v>
      </c>
      <c r="I169" s="18">
        <v>1072</v>
      </c>
      <c r="J169" s="28" t="s">
        <v>452</v>
      </c>
      <c r="K169" s="27">
        <v>4039</v>
      </c>
      <c r="L169" s="27"/>
    </row>
    <row r="170" s="4" customFormat="1" ht="33" customHeight="1" spans="1:12">
      <c r="A170" s="19">
        <v>378020</v>
      </c>
      <c r="B170" s="20" t="s">
        <v>477</v>
      </c>
      <c r="C170" s="14" t="s">
        <v>478</v>
      </c>
      <c r="D170" s="14" t="s">
        <v>479</v>
      </c>
      <c r="E170" s="16">
        <v>1</v>
      </c>
      <c r="F170" s="17" t="s">
        <v>480</v>
      </c>
      <c r="G170" s="18">
        <f t="shared" si="2"/>
        <v>2720</v>
      </c>
      <c r="H170" s="18" t="s">
        <v>18</v>
      </c>
      <c r="I170" s="18">
        <v>1072</v>
      </c>
      <c r="J170" s="28" t="s">
        <v>452</v>
      </c>
      <c r="K170" s="27">
        <v>4039</v>
      </c>
      <c r="L170" s="27"/>
    </row>
    <row r="171" s="4" customFormat="1" ht="33" customHeight="1" spans="1:12">
      <c r="A171" s="21"/>
      <c r="B171" s="22"/>
      <c r="C171" s="14" t="s">
        <v>344</v>
      </c>
      <c r="D171" s="14" t="s">
        <v>345</v>
      </c>
      <c r="E171" s="16">
        <v>1</v>
      </c>
      <c r="F171" s="17" t="s">
        <v>481</v>
      </c>
      <c r="G171" s="18">
        <f t="shared" si="2"/>
        <v>780</v>
      </c>
      <c r="H171" s="18" t="s">
        <v>18</v>
      </c>
      <c r="I171" s="18">
        <v>1072</v>
      </c>
      <c r="J171" s="28" t="s">
        <v>452</v>
      </c>
      <c r="K171" s="27">
        <v>4039</v>
      </c>
      <c r="L171" s="27"/>
    </row>
    <row r="172" s="4" customFormat="1" ht="33" customHeight="1" spans="1:12">
      <c r="A172" s="14">
        <v>378055</v>
      </c>
      <c r="B172" s="15" t="s">
        <v>482</v>
      </c>
      <c r="C172" s="14" t="s">
        <v>63</v>
      </c>
      <c r="D172" s="14" t="s">
        <v>64</v>
      </c>
      <c r="E172" s="16">
        <v>1</v>
      </c>
      <c r="F172" s="17" t="s">
        <v>115</v>
      </c>
      <c r="G172" s="18">
        <f t="shared" si="2"/>
        <v>200</v>
      </c>
      <c r="H172" s="18" t="s">
        <v>18</v>
      </c>
      <c r="I172" s="18">
        <v>1072</v>
      </c>
      <c r="J172" s="18" t="s">
        <v>237</v>
      </c>
      <c r="K172" s="27">
        <v>4037</v>
      </c>
      <c r="L172" s="27"/>
    </row>
    <row r="173" s="4" customFormat="1" ht="33" customHeight="1" spans="1:12">
      <c r="A173" s="14">
        <v>378086</v>
      </c>
      <c r="B173" s="15" t="s">
        <v>483</v>
      </c>
      <c r="C173" s="14" t="s">
        <v>190</v>
      </c>
      <c r="D173" s="14" t="s">
        <v>191</v>
      </c>
      <c r="E173" s="16">
        <v>2</v>
      </c>
      <c r="F173" s="17" t="s">
        <v>419</v>
      </c>
      <c r="G173" s="18">
        <f t="shared" si="2"/>
        <v>900</v>
      </c>
      <c r="H173" s="18" t="s">
        <v>18</v>
      </c>
      <c r="I173" s="18">
        <v>1072</v>
      </c>
      <c r="J173" s="18" t="s">
        <v>382</v>
      </c>
      <c r="K173" s="27">
        <v>4159</v>
      </c>
      <c r="L173" s="27"/>
    </row>
    <row r="174" s="4" customFormat="1" ht="33" customHeight="1" spans="1:12">
      <c r="A174" s="14">
        <v>378087</v>
      </c>
      <c r="B174" s="15" t="s">
        <v>484</v>
      </c>
      <c r="C174" s="14" t="s">
        <v>340</v>
      </c>
      <c r="D174" s="14" t="s">
        <v>341</v>
      </c>
      <c r="E174" s="16">
        <v>2</v>
      </c>
      <c r="F174" s="17" t="s">
        <v>485</v>
      </c>
      <c r="G174" s="18">
        <f t="shared" si="2"/>
        <v>500</v>
      </c>
      <c r="H174" s="18" t="s">
        <v>18</v>
      </c>
      <c r="I174" s="18">
        <v>1072</v>
      </c>
      <c r="J174" s="18" t="s">
        <v>101</v>
      </c>
      <c r="K174" s="27">
        <v>4029</v>
      </c>
      <c r="L174" s="27"/>
    </row>
    <row r="175" s="4" customFormat="1" ht="33" customHeight="1" spans="1:12">
      <c r="A175" s="14">
        <v>378101</v>
      </c>
      <c r="B175" s="15" t="s">
        <v>486</v>
      </c>
      <c r="C175" s="14" t="s">
        <v>348</v>
      </c>
      <c r="D175" s="14" t="s">
        <v>349</v>
      </c>
      <c r="E175" s="16">
        <v>2</v>
      </c>
      <c r="F175" s="17" t="s">
        <v>487</v>
      </c>
      <c r="G175" s="18">
        <f t="shared" si="2"/>
        <v>648</v>
      </c>
      <c r="H175" s="18" t="s">
        <v>18</v>
      </c>
      <c r="I175" s="18">
        <v>1072</v>
      </c>
      <c r="J175" s="18" t="s">
        <v>488</v>
      </c>
      <c r="K175" s="27">
        <v>4113</v>
      </c>
      <c r="L175" s="27"/>
    </row>
    <row r="176" s="4" customFormat="1" ht="33" customHeight="1" spans="1:12">
      <c r="A176" s="19">
        <v>378111</v>
      </c>
      <c r="B176" s="20" t="s">
        <v>489</v>
      </c>
      <c r="C176" s="14" t="s">
        <v>460</v>
      </c>
      <c r="D176" s="15" t="s">
        <v>461</v>
      </c>
      <c r="E176" s="16">
        <v>15</v>
      </c>
      <c r="F176" s="17" t="s">
        <v>108</v>
      </c>
      <c r="G176" s="18">
        <f t="shared" si="2"/>
        <v>900</v>
      </c>
      <c r="H176" s="18" t="s">
        <v>18</v>
      </c>
      <c r="I176" s="18">
        <v>1072</v>
      </c>
      <c r="J176" s="28" t="s">
        <v>382</v>
      </c>
      <c r="K176" s="27">
        <v>4159</v>
      </c>
      <c r="L176" s="27"/>
    </row>
    <row r="177" s="4" customFormat="1" ht="33" customHeight="1" spans="1:12">
      <c r="A177" s="23"/>
      <c r="B177" s="24"/>
      <c r="C177" s="14" t="s">
        <v>490</v>
      </c>
      <c r="D177" s="15" t="s">
        <v>491</v>
      </c>
      <c r="E177" s="16">
        <v>4</v>
      </c>
      <c r="F177" s="17" t="s">
        <v>492</v>
      </c>
      <c r="G177" s="18">
        <f t="shared" si="2"/>
        <v>160</v>
      </c>
      <c r="H177" s="18" t="s">
        <v>18</v>
      </c>
      <c r="I177" s="18">
        <v>1072</v>
      </c>
      <c r="J177" s="28" t="s">
        <v>382</v>
      </c>
      <c r="K177" s="27">
        <v>4159</v>
      </c>
      <c r="L177" s="27"/>
    </row>
    <row r="178" s="4" customFormat="1" ht="33" customHeight="1" spans="1:12">
      <c r="A178" s="23"/>
      <c r="B178" s="24"/>
      <c r="C178" s="14" t="s">
        <v>493</v>
      </c>
      <c r="D178" s="15" t="s">
        <v>494</v>
      </c>
      <c r="E178" s="16">
        <v>4</v>
      </c>
      <c r="F178" s="17" t="s">
        <v>495</v>
      </c>
      <c r="G178" s="18">
        <f t="shared" si="2"/>
        <v>180</v>
      </c>
      <c r="H178" s="18" t="s">
        <v>18</v>
      </c>
      <c r="I178" s="18">
        <v>1072</v>
      </c>
      <c r="J178" s="28" t="s">
        <v>382</v>
      </c>
      <c r="K178" s="27">
        <v>4159</v>
      </c>
      <c r="L178" s="27"/>
    </row>
    <row r="179" s="4" customFormat="1" ht="33" customHeight="1" spans="1:12">
      <c r="A179" s="23"/>
      <c r="B179" s="24"/>
      <c r="C179" s="14" t="s">
        <v>496</v>
      </c>
      <c r="D179" s="15" t="s">
        <v>497</v>
      </c>
      <c r="E179" s="16">
        <v>40</v>
      </c>
      <c r="F179" s="17" t="s">
        <v>296</v>
      </c>
      <c r="G179" s="18">
        <f t="shared" si="2"/>
        <v>2200</v>
      </c>
      <c r="H179" s="18" t="s">
        <v>18</v>
      </c>
      <c r="I179" s="18">
        <v>1072</v>
      </c>
      <c r="J179" s="28" t="s">
        <v>382</v>
      </c>
      <c r="K179" s="27">
        <v>4159</v>
      </c>
      <c r="L179" s="27"/>
    </row>
    <row r="180" s="4" customFormat="1" ht="33" customHeight="1" spans="1:12">
      <c r="A180" s="21"/>
      <c r="B180" s="22"/>
      <c r="C180" s="14" t="s">
        <v>498</v>
      </c>
      <c r="D180" s="15" t="s">
        <v>499</v>
      </c>
      <c r="E180" s="16">
        <v>15</v>
      </c>
      <c r="F180" s="17" t="s">
        <v>500</v>
      </c>
      <c r="G180" s="18">
        <f t="shared" si="2"/>
        <v>1275</v>
      </c>
      <c r="H180" s="18" t="s">
        <v>18</v>
      </c>
      <c r="I180" s="18">
        <v>1072</v>
      </c>
      <c r="J180" s="28" t="s">
        <v>382</v>
      </c>
      <c r="K180" s="27">
        <v>4159</v>
      </c>
      <c r="L180" s="27"/>
    </row>
    <row r="181" s="4" customFormat="1" ht="33" customHeight="1" spans="1:12">
      <c r="A181" s="19">
        <v>378133</v>
      </c>
      <c r="B181" s="20" t="s">
        <v>501</v>
      </c>
      <c r="C181" s="14" t="s">
        <v>365</v>
      </c>
      <c r="D181" s="15" t="s">
        <v>366</v>
      </c>
      <c r="E181" s="16">
        <v>1</v>
      </c>
      <c r="F181" s="17" t="s">
        <v>367</v>
      </c>
      <c r="G181" s="18">
        <f t="shared" si="2"/>
        <v>31</v>
      </c>
      <c r="H181" s="18" t="s">
        <v>18</v>
      </c>
      <c r="I181" s="18">
        <v>1072</v>
      </c>
      <c r="J181" s="28" t="s">
        <v>502</v>
      </c>
      <c r="K181" s="27">
        <v>4151</v>
      </c>
      <c r="L181" s="27"/>
    </row>
    <row r="182" s="4" customFormat="1" ht="33" customHeight="1" spans="1:12">
      <c r="A182" s="21"/>
      <c r="B182" s="22"/>
      <c r="C182" s="14" t="s">
        <v>368</v>
      </c>
      <c r="D182" s="15" t="s">
        <v>369</v>
      </c>
      <c r="E182" s="16">
        <v>1</v>
      </c>
      <c r="F182" s="17" t="s">
        <v>492</v>
      </c>
      <c r="G182" s="18">
        <f t="shared" si="2"/>
        <v>40</v>
      </c>
      <c r="H182" s="18" t="s">
        <v>18</v>
      </c>
      <c r="I182" s="18">
        <v>1072</v>
      </c>
      <c r="J182" s="28" t="s">
        <v>502</v>
      </c>
      <c r="K182" s="27">
        <v>4151</v>
      </c>
      <c r="L182" s="27"/>
    </row>
    <row r="183" s="4" customFormat="1" ht="33" customHeight="1" spans="1:12">
      <c r="A183" s="19">
        <v>378145</v>
      </c>
      <c r="B183" s="20" t="s">
        <v>503</v>
      </c>
      <c r="C183" s="14" t="s">
        <v>504</v>
      </c>
      <c r="D183" s="15" t="s">
        <v>505</v>
      </c>
      <c r="E183" s="16">
        <v>1</v>
      </c>
      <c r="F183" s="17" t="s">
        <v>180</v>
      </c>
      <c r="G183" s="18">
        <f t="shared" si="2"/>
        <v>7</v>
      </c>
      <c r="H183" s="18" t="s">
        <v>18</v>
      </c>
      <c r="I183" s="18">
        <v>1072</v>
      </c>
      <c r="J183" s="28" t="s">
        <v>506</v>
      </c>
      <c r="K183" s="27">
        <v>4028</v>
      </c>
      <c r="L183" s="27"/>
    </row>
    <row r="184" s="4" customFormat="1" ht="33" customHeight="1" spans="1:12">
      <c r="A184" s="23"/>
      <c r="B184" s="24"/>
      <c r="C184" s="14" t="s">
        <v>507</v>
      </c>
      <c r="D184" s="15" t="s">
        <v>508</v>
      </c>
      <c r="E184" s="16">
        <v>1</v>
      </c>
      <c r="F184" s="17" t="s">
        <v>509</v>
      </c>
      <c r="G184" s="18">
        <f t="shared" si="2"/>
        <v>42</v>
      </c>
      <c r="H184" s="18" t="s">
        <v>18</v>
      </c>
      <c r="I184" s="18">
        <v>1072</v>
      </c>
      <c r="J184" s="28" t="s">
        <v>506</v>
      </c>
      <c r="K184" s="27">
        <v>4028</v>
      </c>
      <c r="L184" s="27"/>
    </row>
    <row r="185" s="4" customFormat="1" ht="33" customHeight="1" spans="1:12">
      <c r="A185" s="23"/>
      <c r="B185" s="24"/>
      <c r="C185" s="14" t="s">
        <v>510</v>
      </c>
      <c r="D185" s="15" t="s">
        <v>511</v>
      </c>
      <c r="E185" s="16">
        <v>1</v>
      </c>
      <c r="F185" s="17" t="s">
        <v>512</v>
      </c>
      <c r="G185" s="18">
        <f t="shared" si="2"/>
        <v>304</v>
      </c>
      <c r="H185" s="18" t="s">
        <v>18</v>
      </c>
      <c r="I185" s="18">
        <v>1072</v>
      </c>
      <c r="J185" s="28" t="s">
        <v>506</v>
      </c>
      <c r="K185" s="27">
        <v>4028</v>
      </c>
      <c r="L185" s="27"/>
    </row>
    <row r="186" s="4" customFormat="1" ht="33" customHeight="1" spans="1:12">
      <c r="A186" s="21"/>
      <c r="B186" s="22"/>
      <c r="C186" s="14" t="s">
        <v>513</v>
      </c>
      <c r="D186" s="15" t="s">
        <v>514</v>
      </c>
      <c r="E186" s="16">
        <v>5</v>
      </c>
      <c r="F186" s="17" t="s">
        <v>515</v>
      </c>
      <c r="G186" s="18">
        <f t="shared" si="2"/>
        <v>180</v>
      </c>
      <c r="H186" s="18" t="s">
        <v>18</v>
      </c>
      <c r="I186" s="18">
        <v>1072</v>
      </c>
      <c r="J186" s="28" t="s">
        <v>506</v>
      </c>
      <c r="K186" s="27">
        <v>4028</v>
      </c>
      <c r="L186" s="27"/>
    </row>
    <row r="187" s="4" customFormat="1" ht="33" customHeight="1" spans="1:12">
      <c r="A187" s="14">
        <v>378209</v>
      </c>
      <c r="B187" s="15" t="s">
        <v>224</v>
      </c>
      <c r="C187" s="14" t="s">
        <v>63</v>
      </c>
      <c r="D187" s="14" t="s">
        <v>64</v>
      </c>
      <c r="E187" s="16">
        <v>1</v>
      </c>
      <c r="F187" s="17" t="s">
        <v>115</v>
      </c>
      <c r="G187" s="18">
        <f t="shared" si="2"/>
        <v>200</v>
      </c>
      <c r="H187" s="18" t="s">
        <v>18</v>
      </c>
      <c r="I187" s="18">
        <v>1072</v>
      </c>
      <c r="J187" s="18" t="s">
        <v>119</v>
      </c>
      <c r="K187" s="27">
        <v>4050</v>
      </c>
      <c r="L187" s="27"/>
    </row>
    <row r="188" s="4" customFormat="1" ht="33" customHeight="1" spans="1:12">
      <c r="A188" s="14">
        <v>378223</v>
      </c>
      <c r="B188" s="15" t="s">
        <v>516</v>
      </c>
      <c r="C188" s="14" t="s">
        <v>517</v>
      </c>
      <c r="D188" s="14" t="s">
        <v>518</v>
      </c>
      <c r="E188" s="16">
        <v>1</v>
      </c>
      <c r="F188" s="17" t="s">
        <v>519</v>
      </c>
      <c r="G188" s="18">
        <f t="shared" si="2"/>
        <v>363</v>
      </c>
      <c r="H188" s="18" t="s">
        <v>18</v>
      </c>
      <c r="I188" s="18">
        <v>1072</v>
      </c>
      <c r="J188" s="18" t="s">
        <v>150</v>
      </c>
      <c r="K188" s="27">
        <v>4043</v>
      </c>
      <c r="L188" s="27"/>
    </row>
    <row r="189" s="4" customFormat="1" ht="33" customHeight="1" spans="1:12">
      <c r="A189" s="19">
        <v>378227</v>
      </c>
      <c r="B189" s="20" t="s">
        <v>520</v>
      </c>
      <c r="C189" s="14" t="s">
        <v>521</v>
      </c>
      <c r="D189" s="15" t="s">
        <v>522</v>
      </c>
      <c r="E189" s="16">
        <v>2</v>
      </c>
      <c r="F189" s="17" t="s">
        <v>515</v>
      </c>
      <c r="G189" s="18">
        <f t="shared" si="2"/>
        <v>72</v>
      </c>
      <c r="H189" s="18" t="s">
        <v>18</v>
      </c>
      <c r="I189" s="18">
        <v>1072</v>
      </c>
      <c r="J189" s="28" t="s">
        <v>523</v>
      </c>
      <c r="K189" s="27">
        <v>4048</v>
      </c>
      <c r="L189" s="27"/>
    </row>
    <row r="190" s="4" customFormat="1" ht="33" customHeight="1" spans="1:12">
      <c r="A190" s="23"/>
      <c r="B190" s="24"/>
      <c r="C190" s="14" t="s">
        <v>524</v>
      </c>
      <c r="D190" s="15" t="s">
        <v>525</v>
      </c>
      <c r="E190" s="16">
        <v>2</v>
      </c>
      <c r="F190" s="17" t="s">
        <v>526</v>
      </c>
      <c r="G190" s="18">
        <f t="shared" si="2"/>
        <v>1288</v>
      </c>
      <c r="H190" s="18" t="s">
        <v>18</v>
      </c>
      <c r="I190" s="18">
        <v>1072</v>
      </c>
      <c r="J190" s="28" t="s">
        <v>523</v>
      </c>
      <c r="K190" s="27">
        <v>4048</v>
      </c>
      <c r="L190" s="27"/>
    </row>
    <row r="191" s="4" customFormat="1" ht="33" customHeight="1" spans="1:12">
      <c r="A191" s="23"/>
      <c r="B191" s="24"/>
      <c r="C191" s="14" t="s">
        <v>527</v>
      </c>
      <c r="D191" s="15" t="s">
        <v>528</v>
      </c>
      <c r="E191" s="16">
        <v>1</v>
      </c>
      <c r="F191" s="17" t="s">
        <v>291</v>
      </c>
      <c r="G191" s="18">
        <f t="shared" si="2"/>
        <v>198</v>
      </c>
      <c r="H191" s="18" t="s">
        <v>18</v>
      </c>
      <c r="I191" s="18">
        <v>1072</v>
      </c>
      <c r="J191" s="28" t="s">
        <v>523</v>
      </c>
      <c r="K191" s="27">
        <v>4048</v>
      </c>
      <c r="L191" s="27"/>
    </row>
    <row r="192" s="4" customFormat="1" ht="33" customHeight="1" spans="1:12">
      <c r="A192" s="23"/>
      <c r="B192" s="24"/>
      <c r="C192" s="14" t="s">
        <v>529</v>
      </c>
      <c r="D192" s="15" t="s">
        <v>530</v>
      </c>
      <c r="E192" s="16">
        <v>7</v>
      </c>
      <c r="F192" s="17" t="s">
        <v>531</v>
      </c>
      <c r="G192" s="18">
        <f t="shared" si="2"/>
        <v>140</v>
      </c>
      <c r="H192" s="18" t="s">
        <v>18</v>
      </c>
      <c r="I192" s="18">
        <v>1072</v>
      </c>
      <c r="J192" s="28" t="s">
        <v>523</v>
      </c>
      <c r="K192" s="27">
        <v>4048</v>
      </c>
      <c r="L192" s="27"/>
    </row>
    <row r="193" s="4" customFormat="1" ht="33" customHeight="1" spans="1:12">
      <c r="A193" s="23"/>
      <c r="B193" s="24"/>
      <c r="C193" s="14" t="s">
        <v>532</v>
      </c>
      <c r="D193" s="15" t="s">
        <v>533</v>
      </c>
      <c r="E193" s="16">
        <v>1</v>
      </c>
      <c r="F193" s="17" t="s">
        <v>93</v>
      </c>
      <c r="G193" s="18">
        <f t="shared" si="2"/>
        <v>11</v>
      </c>
      <c r="H193" s="18" t="s">
        <v>18</v>
      </c>
      <c r="I193" s="18">
        <v>1072</v>
      </c>
      <c r="J193" s="28" t="s">
        <v>523</v>
      </c>
      <c r="K193" s="27">
        <v>4048</v>
      </c>
      <c r="L193" s="27"/>
    </row>
    <row r="194" s="4" customFormat="1" ht="33" customHeight="1" spans="1:12">
      <c r="A194" s="23"/>
      <c r="B194" s="24"/>
      <c r="C194" s="14" t="s">
        <v>534</v>
      </c>
      <c r="D194" s="15" t="s">
        <v>535</v>
      </c>
      <c r="E194" s="16">
        <v>2</v>
      </c>
      <c r="F194" s="17" t="s">
        <v>531</v>
      </c>
      <c r="G194" s="18">
        <f t="shared" si="2"/>
        <v>40</v>
      </c>
      <c r="H194" s="18" t="s">
        <v>18</v>
      </c>
      <c r="I194" s="18">
        <v>1072</v>
      </c>
      <c r="J194" s="28" t="s">
        <v>523</v>
      </c>
      <c r="K194" s="27">
        <v>4048</v>
      </c>
      <c r="L194" s="27"/>
    </row>
    <row r="195" s="4" customFormat="1" ht="33" customHeight="1" spans="1:12">
      <c r="A195" s="23"/>
      <c r="B195" s="24"/>
      <c r="C195" s="14" t="s">
        <v>106</v>
      </c>
      <c r="D195" s="15" t="s">
        <v>107</v>
      </c>
      <c r="E195" s="16">
        <v>1</v>
      </c>
      <c r="F195" s="17" t="s">
        <v>296</v>
      </c>
      <c r="G195" s="18">
        <f t="shared" si="2"/>
        <v>55</v>
      </c>
      <c r="H195" s="18" t="s">
        <v>18</v>
      </c>
      <c r="I195" s="18">
        <v>1072</v>
      </c>
      <c r="J195" s="28" t="s">
        <v>523</v>
      </c>
      <c r="K195" s="27">
        <v>4048</v>
      </c>
      <c r="L195" s="27"/>
    </row>
    <row r="196" s="4" customFormat="1" ht="33" customHeight="1" spans="1:12">
      <c r="A196" s="23"/>
      <c r="B196" s="24"/>
      <c r="C196" s="14" t="s">
        <v>536</v>
      </c>
      <c r="D196" s="15" t="s">
        <v>537</v>
      </c>
      <c r="E196" s="16">
        <v>2</v>
      </c>
      <c r="F196" s="17" t="s">
        <v>163</v>
      </c>
      <c r="G196" s="18">
        <f t="shared" si="2"/>
        <v>562</v>
      </c>
      <c r="H196" s="18" t="s">
        <v>18</v>
      </c>
      <c r="I196" s="18">
        <v>1072</v>
      </c>
      <c r="J196" s="28" t="s">
        <v>523</v>
      </c>
      <c r="K196" s="27">
        <v>4048</v>
      </c>
      <c r="L196" s="27"/>
    </row>
    <row r="197" s="4" customFormat="1" ht="33" customHeight="1" spans="1:12">
      <c r="A197" s="23"/>
      <c r="B197" s="24"/>
      <c r="C197" s="14" t="s">
        <v>538</v>
      </c>
      <c r="D197" s="15" t="s">
        <v>539</v>
      </c>
      <c r="E197" s="16">
        <v>1</v>
      </c>
      <c r="F197" s="17" t="s">
        <v>540</v>
      </c>
      <c r="G197" s="18">
        <f t="shared" ref="G197:G260" si="3">E197*F197</f>
        <v>495</v>
      </c>
      <c r="H197" s="18" t="s">
        <v>18</v>
      </c>
      <c r="I197" s="18">
        <v>1072</v>
      </c>
      <c r="J197" s="28" t="s">
        <v>523</v>
      </c>
      <c r="K197" s="27">
        <v>4048</v>
      </c>
      <c r="L197" s="27"/>
    </row>
    <row r="198" s="4" customFormat="1" ht="33" customHeight="1" spans="1:12">
      <c r="A198" s="23"/>
      <c r="B198" s="24"/>
      <c r="C198" s="14" t="s">
        <v>541</v>
      </c>
      <c r="D198" s="15" t="s">
        <v>542</v>
      </c>
      <c r="E198" s="16">
        <v>7</v>
      </c>
      <c r="F198" s="17" t="s">
        <v>138</v>
      </c>
      <c r="G198" s="18">
        <f t="shared" si="3"/>
        <v>2660</v>
      </c>
      <c r="H198" s="18" t="s">
        <v>18</v>
      </c>
      <c r="I198" s="18">
        <v>1072</v>
      </c>
      <c r="J198" s="28" t="s">
        <v>523</v>
      </c>
      <c r="K198" s="27">
        <v>4048</v>
      </c>
      <c r="L198" s="27"/>
    </row>
    <row r="199" s="4" customFormat="1" ht="33" customHeight="1" spans="1:12">
      <c r="A199" s="23"/>
      <c r="B199" s="24"/>
      <c r="C199" s="14" t="s">
        <v>543</v>
      </c>
      <c r="D199" s="15" t="s">
        <v>544</v>
      </c>
      <c r="E199" s="16">
        <v>4</v>
      </c>
      <c r="F199" s="17" t="s">
        <v>545</v>
      </c>
      <c r="G199" s="18">
        <f t="shared" si="3"/>
        <v>1916</v>
      </c>
      <c r="H199" s="18" t="s">
        <v>18</v>
      </c>
      <c r="I199" s="18">
        <v>1072</v>
      </c>
      <c r="J199" s="28" t="s">
        <v>523</v>
      </c>
      <c r="K199" s="27">
        <v>4048</v>
      </c>
      <c r="L199" s="27"/>
    </row>
    <row r="200" s="4" customFormat="1" ht="33" customHeight="1" spans="1:12">
      <c r="A200" s="23"/>
      <c r="B200" s="24"/>
      <c r="C200" s="14" t="s">
        <v>546</v>
      </c>
      <c r="D200" s="15" t="s">
        <v>547</v>
      </c>
      <c r="E200" s="16">
        <v>1</v>
      </c>
      <c r="F200" s="17" t="s">
        <v>548</v>
      </c>
      <c r="G200" s="18">
        <f t="shared" si="3"/>
        <v>1333</v>
      </c>
      <c r="H200" s="18" t="s">
        <v>18</v>
      </c>
      <c r="I200" s="18">
        <v>1072</v>
      </c>
      <c r="J200" s="28" t="s">
        <v>523</v>
      </c>
      <c r="K200" s="27">
        <v>4048</v>
      </c>
      <c r="L200" s="27"/>
    </row>
    <row r="201" s="4" customFormat="1" ht="33" customHeight="1" spans="1:12">
      <c r="A201" s="23"/>
      <c r="B201" s="24"/>
      <c r="C201" s="14" t="s">
        <v>549</v>
      </c>
      <c r="D201" s="15" t="s">
        <v>550</v>
      </c>
      <c r="E201" s="16">
        <v>1</v>
      </c>
      <c r="F201" s="17" t="s">
        <v>112</v>
      </c>
      <c r="G201" s="18">
        <f t="shared" si="3"/>
        <v>10</v>
      </c>
      <c r="H201" s="18" t="s">
        <v>18</v>
      </c>
      <c r="I201" s="18">
        <v>1072</v>
      </c>
      <c r="J201" s="28" t="s">
        <v>523</v>
      </c>
      <c r="K201" s="27">
        <v>4048</v>
      </c>
      <c r="L201" s="27"/>
    </row>
    <row r="202" s="4" customFormat="1" ht="33" customHeight="1" spans="1:12">
      <c r="A202" s="23"/>
      <c r="B202" s="24"/>
      <c r="C202" s="14" t="s">
        <v>551</v>
      </c>
      <c r="D202" s="15" t="s">
        <v>552</v>
      </c>
      <c r="E202" s="16">
        <v>2</v>
      </c>
      <c r="F202" s="17" t="s">
        <v>553</v>
      </c>
      <c r="G202" s="18">
        <f t="shared" si="3"/>
        <v>10</v>
      </c>
      <c r="H202" s="18" t="s">
        <v>18</v>
      </c>
      <c r="I202" s="18">
        <v>1072</v>
      </c>
      <c r="J202" s="28" t="s">
        <v>523</v>
      </c>
      <c r="K202" s="27">
        <v>4048</v>
      </c>
      <c r="L202" s="27"/>
    </row>
    <row r="203" s="4" customFormat="1" ht="33" customHeight="1" spans="1:12">
      <c r="A203" s="21"/>
      <c r="B203" s="24"/>
      <c r="C203" s="14" t="s">
        <v>554</v>
      </c>
      <c r="D203" s="15" t="s">
        <v>555</v>
      </c>
      <c r="E203" s="16">
        <v>2</v>
      </c>
      <c r="F203" s="17" t="s">
        <v>553</v>
      </c>
      <c r="G203" s="18">
        <f t="shared" si="3"/>
        <v>10</v>
      </c>
      <c r="H203" s="18" t="s">
        <v>18</v>
      </c>
      <c r="I203" s="18">
        <v>1072</v>
      </c>
      <c r="J203" s="28" t="s">
        <v>523</v>
      </c>
      <c r="K203" s="27">
        <v>4048</v>
      </c>
      <c r="L203" s="27"/>
    </row>
    <row r="204" s="4" customFormat="1" ht="33" customHeight="1" spans="1:12">
      <c r="A204" s="19">
        <v>378294</v>
      </c>
      <c r="B204" s="24"/>
      <c r="C204" s="14" t="s">
        <v>556</v>
      </c>
      <c r="D204" s="15" t="s">
        <v>557</v>
      </c>
      <c r="E204" s="16">
        <v>4</v>
      </c>
      <c r="F204" s="17" t="s">
        <v>558</v>
      </c>
      <c r="G204" s="18">
        <f t="shared" si="3"/>
        <v>140</v>
      </c>
      <c r="H204" s="18" t="s">
        <v>18</v>
      </c>
      <c r="I204" s="18">
        <v>1072</v>
      </c>
      <c r="J204" s="28" t="s">
        <v>523</v>
      </c>
      <c r="K204" s="27">
        <v>4048</v>
      </c>
      <c r="L204" s="27"/>
    </row>
    <row r="205" s="4" customFormat="1" ht="33" customHeight="1" spans="1:12">
      <c r="A205" s="23"/>
      <c r="B205" s="24"/>
      <c r="C205" s="14" t="s">
        <v>559</v>
      </c>
      <c r="D205" s="15" t="s">
        <v>560</v>
      </c>
      <c r="E205" s="16">
        <v>2</v>
      </c>
      <c r="F205" s="17" t="s">
        <v>509</v>
      </c>
      <c r="G205" s="18">
        <f t="shared" si="3"/>
        <v>84</v>
      </c>
      <c r="H205" s="18" t="s">
        <v>18</v>
      </c>
      <c r="I205" s="18">
        <v>1072</v>
      </c>
      <c r="J205" s="28" t="s">
        <v>523</v>
      </c>
      <c r="K205" s="27">
        <v>4048</v>
      </c>
      <c r="L205" s="27"/>
    </row>
    <row r="206" s="4" customFormat="1" ht="33" customHeight="1" spans="1:12">
      <c r="A206" s="23"/>
      <c r="B206" s="24"/>
      <c r="C206" s="14" t="s">
        <v>561</v>
      </c>
      <c r="D206" s="15" t="s">
        <v>562</v>
      </c>
      <c r="E206" s="16">
        <v>4</v>
      </c>
      <c r="F206" s="17" t="s">
        <v>563</v>
      </c>
      <c r="G206" s="18">
        <f t="shared" si="3"/>
        <v>3432</v>
      </c>
      <c r="H206" s="18" t="s">
        <v>18</v>
      </c>
      <c r="I206" s="18">
        <v>1072</v>
      </c>
      <c r="J206" s="28" t="s">
        <v>523</v>
      </c>
      <c r="K206" s="27">
        <v>4048</v>
      </c>
      <c r="L206" s="27"/>
    </row>
    <row r="207" s="4" customFormat="1" ht="33" customHeight="1" spans="1:12">
      <c r="A207" s="23"/>
      <c r="B207" s="24"/>
      <c r="C207" s="14" t="s">
        <v>564</v>
      </c>
      <c r="D207" s="15" t="s">
        <v>565</v>
      </c>
      <c r="E207" s="16">
        <v>3</v>
      </c>
      <c r="F207" s="17" t="s">
        <v>566</v>
      </c>
      <c r="G207" s="18">
        <f t="shared" si="3"/>
        <v>792</v>
      </c>
      <c r="H207" s="18" t="s">
        <v>18</v>
      </c>
      <c r="I207" s="18">
        <v>1072</v>
      </c>
      <c r="J207" s="28" t="s">
        <v>523</v>
      </c>
      <c r="K207" s="27">
        <v>4048</v>
      </c>
      <c r="L207" s="27"/>
    </row>
    <row r="208" s="4" customFormat="1" ht="33" customHeight="1" spans="1:12">
      <c r="A208" s="23"/>
      <c r="B208" s="24"/>
      <c r="C208" s="14" t="s">
        <v>529</v>
      </c>
      <c r="D208" s="15" t="s">
        <v>530</v>
      </c>
      <c r="E208" s="16">
        <v>20</v>
      </c>
      <c r="F208" s="17" t="s">
        <v>531</v>
      </c>
      <c r="G208" s="18">
        <f t="shared" si="3"/>
        <v>400</v>
      </c>
      <c r="H208" s="18" t="s">
        <v>18</v>
      </c>
      <c r="I208" s="18">
        <v>1072</v>
      </c>
      <c r="J208" s="28" t="s">
        <v>523</v>
      </c>
      <c r="K208" s="27">
        <v>4048</v>
      </c>
      <c r="L208" s="27"/>
    </row>
    <row r="209" s="4" customFormat="1" ht="33" customHeight="1" spans="1:12">
      <c r="A209" s="23"/>
      <c r="B209" s="24"/>
      <c r="C209" s="14" t="s">
        <v>532</v>
      </c>
      <c r="D209" s="15" t="s">
        <v>533</v>
      </c>
      <c r="E209" s="16">
        <v>3</v>
      </c>
      <c r="F209" s="17" t="s">
        <v>112</v>
      </c>
      <c r="G209" s="18">
        <f t="shared" si="3"/>
        <v>30</v>
      </c>
      <c r="H209" s="18" t="s">
        <v>18</v>
      </c>
      <c r="I209" s="18">
        <v>1072</v>
      </c>
      <c r="J209" s="28" t="s">
        <v>523</v>
      </c>
      <c r="K209" s="27">
        <v>4048</v>
      </c>
      <c r="L209" s="27"/>
    </row>
    <row r="210" s="4" customFormat="1" ht="33" customHeight="1" spans="1:12">
      <c r="A210" s="23"/>
      <c r="B210" s="24"/>
      <c r="C210" s="14" t="s">
        <v>567</v>
      </c>
      <c r="D210" s="15" t="s">
        <v>568</v>
      </c>
      <c r="E210" s="16">
        <v>4</v>
      </c>
      <c r="F210" s="17" t="s">
        <v>569</v>
      </c>
      <c r="G210" s="18">
        <f t="shared" si="3"/>
        <v>76</v>
      </c>
      <c r="H210" s="18" t="s">
        <v>18</v>
      </c>
      <c r="I210" s="18">
        <v>1072</v>
      </c>
      <c r="J210" s="28" t="s">
        <v>523</v>
      </c>
      <c r="K210" s="27">
        <v>4048</v>
      </c>
      <c r="L210" s="29"/>
    </row>
    <row r="211" s="4" customFormat="1" ht="33" customHeight="1" spans="1:12">
      <c r="A211" s="23"/>
      <c r="B211" s="24"/>
      <c r="C211" s="14" t="s">
        <v>106</v>
      </c>
      <c r="D211" s="15" t="s">
        <v>107</v>
      </c>
      <c r="E211" s="16">
        <v>3</v>
      </c>
      <c r="F211" s="17" t="s">
        <v>296</v>
      </c>
      <c r="G211" s="18">
        <f t="shared" si="3"/>
        <v>165</v>
      </c>
      <c r="H211" s="18" t="s">
        <v>18</v>
      </c>
      <c r="I211" s="18">
        <v>1072</v>
      </c>
      <c r="J211" s="28" t="s">
        <v>523</v>
      </c>
      <c r="K211" s="27">
        <v>4048</v>
      </c>
      <c r="L211" s="27"/>
    </row>
    <row r="212" s="4" customFormat="1" ht="33" customHeight="1" spans="1:12">
      <c r="A212" s="23"/>
      <c r="B212" s="24"/>
      <c r="C212" s="14" t="s">
        <v>536</v>
      </c>
      <c r="D212" s="15" t="s">
        <v>537</v>
      </c>
      <c r="E212" s="16">
        <v>4</v>
      </c>
      <c r="F212" s="17" t="s">
        <v>163</v>
      </c>
      <c r="G212" s="18">
        <f t="shared" si="3"/>
        <v>1124</v>
      </c>
      <c r="H212" s="18" t="s">
        <v>18</v>
      </c>
      <c r="I212" s="18">
        <v>1072</v>
      </c>
      <c r="J212" s="28" t="s">
        <v>523</v>
      </c>
      <c r="K212" s="27">
        <v>4048</v>
      </c>
      <c r="L212" s="27"/>
    </row>
    <row r="213" s="4" customFormat="1" ht="33" customHeight="1" spans="1:12">
      <c r="A213" s="23"/>
      <c r="B213" s="24"/>
      <c r="C213" s="14" t="s">
        <v>570</v>
      </c>
      <c r="D213" s="15" t="s">
        <v>571</v>
      </c>
      <c r="E213" s="16">
        <v>3</v>
      </c>
      <c r="F213" s="17" t="s">
        <v>572</v>
      </c>
      <c r="G213" s="18">
        <f t="shared" si="3"/>
        <v>1809</v>
      </c>
      <c r="H213" s="18" t="s">
        <v>18</v>
      </c>
      <c r="I213" s="18">
        <v>1072</v>
      </c>
      <c r="J213" s="28" t="s">
        <v>523</v>
      </c>
      <c r="K213" s="27">
        <v>4048</v>
      </c>
      <c r="L213" s="27"/>
    </row>
    <row r="214" s="4" customFormat="1" ht="33" customHeight="1" spans="1:12">
      <c r="A214" s="23"/>
      <c r="B214" s="24"/>
      <c r="C214" s="14" t="s">
        <v>573</v>
      </c>
      <c r="D214" s="15" t="s">
        <v>574</v>
      </c>
      <c r="E214" s="16">
        <v>16</v>
      </c>
      <c r="F214" s="17" t="s">
        <v>575</v>
      </c>
      <c r="G214" s="18">
        <f t="shared" si="3"/>
        <v>7136</v>
      </c>
      <c r="H214" s="18" t="s">
        <v>18</v>
      </c>
      <c r="I214" s="18">
        <v>1072</v>
      </c>
      <c r="J214" s="28" t="s">
        <v>523</v>
      </c>
      <c r="K214" s="27">
        <v>4048</v>
      </c>
      <c r="L214" s="27"/>
    </row>
    <row r="215" s="4" customFormat="1" ht="33" customHeight="1" spans="1:12">
      <c r="A215" s="23"/>
      <c r="B215" s="24"/>
      <c r="C215" s="14" t="s">
        <v>576</v>
      </c>
      <c r="D215" s="15" t="s">
        <v>577</v>
      </c>
      <c r="E215" s="16">
        <v>4</v>
      </c>
      <c r="F215" s="17" t="s">
        <v>575</v>
      </c>
      <c r="G215" s="18">
        <f t="shared" si="3"/>
        <v>1784</v>
      </c>
      <c r="H215" s="18" t="s">
        <v>18</v>
      </c>
      <c r="I215" s="18">
        <v>1072</v>
      </c>
      <c r="J215" s="28" t="s">
        <v>523</v>
      </c>
      <c r="K215" s="27">
        <v>4048</v>
      </c>
      <c r="L215" s="27"/>
    </row>
    <row r="216" s="4" customFormat="1" ht="33" customHeight="1" spans="1:12">
      <c r="A216" s="23"/>
      <c r="B216" s="24"/>
      <c r="C216" s="14" t="s">
        <v>578</v>
      </c>
      <c r="D216" s="15" t="s">
        <v>579</v>
      </c>
      <c r="E216" s="16">
        <v>13</v>
      </c>
      <c r="F216" s="17" t="s">
        <v>580</v>
      </c>
      <c r="G216" s="18">
        <f t="shared" si="3"/>
        <v>7410</v>
      </c>
      <c r="H216" s="18" t="s">
        <v>18</v>
      </c>
      <c r="I216" s="18">
        <v>1072</v>
      </c>
      <c r="J216" s="28" t="s">
        <v>523</v>
      </c>
      <c r="K216" s="27">
        <v>4048</v>
      </c>
      <c r="L216" s="27"/>
    </row>
    <row r="217" s="4" customFormat="1" ht="33" customHeight="1" spans="1:12">
      <c r="A217" s="23"/>
      <c r="B217" s="24"/>
      <c r="C217" s="14" t="s">
        <v>581</v>
      </c>
      <c r="D217" s="15" t="s">
        <v>582</v>
      </c>
      <c r="E217" s="16">
        <v>2</v>
      </c>
      <c r="F217" s="17" t="s">
        <v>583</v>
      </c>
      <c r="G217" s="18">
        <f t="shared" si="3"/>
        <v>2896</v>
      </c>
      <c r="H217" s="18" t="s">
        <v>18</v>
      </c>
      <c r="I217" s="18">
        <v>1072</v>
      </c>
      <c r="J217" s="28" t="s">
        <v>523</v>
      </c>
      <c r="K217" s="27">
        <v>4048</v>
      </c>
      <c r="L217" s="27"/>
    </row>
    <row r="218" s="4" customFormat="1" ht="33" customHeight="1" spans="1:12">
      <c r="A218" s="23"/>
      <c r="B218" s="24"/>
      <c r="C218" s="14" t="s">
        <v>584</v>
      </c>
      <c r="D218" s="15" t="s">
        <v>585</v>
      </c>
      <c r="E218" s="16">
        <v>1</v>
      </c>
      <c r="F218" s="17" t="s">
        <v>586</v>
      </c>
      <c r="G218" s="18">
        <f t="shared" si="3"/>
        <v>1690</v>
      </c>
      <c r="H218" s="18" t="s">
        <v>18</v>
      </c>
      <c r="I218" s="18">
        <v>1072</v>
      </c>
      <c r="J218" s="28" t="s">
        <v>523</v>
      </c>
      <c r="K218" s="27">
        <v>4048</v>
      </c>
      <c r="L218" s="27"/>
    </row>
    <row r="219" s="4" customFormat="1" ht="33" customHeight="1" spans="1:12">
      <c r="A219" s="23"/>
      <c r="B219" s="24"/>
      <c r="C219" s="14" t="s">
        <v>415</v>
      </c>
      <c r="D219" s="14" t="s">
        <v>416</v>
      </c>
      <c r="E219" s="16">
        <v>1</v>
      </c>
      <c r="F219" s="17" t="s">
        <v>413</v>
      </c>
      <c r="G219" s="18">
        <f t="shared" si="3"/>
        <v>534</v>
      </c>
      <c r="H219" s="18" t="s">
        <v>18</v>
      </c>
      <c r="I219" s="18">
        <v>1072</v>
      </c>
      <c r="J219" s="28" t="s">
        <v>523</v>
      </c>
      <c r="K219" s="27">
        <v>4048</v>
      </c>
      <c r="L219" s="27"/>
    </row>
    <row r="220" s="4" customFormat="1" ht="33" customHeight="1" spans="1:12">
      <c r="A220" s="23"/>
      <c r="B220" s="24"/>
      <c r="C220" s="14" t="s">
        <v>549</v>
      </c>
      <c r="D220" s="15" t="s">
        <v>550</v>
      </c>
      <c r="E220" s="16">
        <v>3</v>
      </c>
      <c r="F220" s="17" t="s">
        <v>587</v>
      </c>
      <c r="G220" s="18">
        <f t="shared" si="3"/>
        <v>18</v>
      </c>
      <c r="H220" s="18" t="s">
        <v>18</v>
      </c>
      <c r="I220" s="18">
        <v>1072</v>
      </c>
      <c r="J220" s="28" t="s">
        <v>523</v>
      </c>
      <c r="K220" s="27">
        <v>4048</v>
      </c>
      <c r="L220" s="27"/>
    </row>
    <row r="221" s="4" customFormat="1" ht="33" customHeight="1" spans="1:12">
      <c r="A221" s="23"/>
      <c r="B221" s="24"/>
      <c r="C221" s="14" t="s">
        <v>551</v>
      </c>
      <c r="D221" s="15" t="s">
        <v>552</v>
      </c>
      <c r="E221" s="16">
        <v>6</v>
      </c>
      <c r="F221" s="17" t="s">
        <v>310</v>
      </c>
      <c r="G221" s="18">
        <f t="shared" si="3"/>
        <v>12</v>
      </c>
      <c r="H221" s="18" t="s">
        <v>18</v>
      </c>
      <c r="I221" s="18">
        <v>1072</v>
      </c>
      <c r="J221" s="28" t="s">
        <v>523</v>
      </c>
      <c r="K221" s="27">
        <v>4048</v>
      </c>
      <c r="L221" s="27"/>
    </row>
    <row r="222" s="4" customFormat="1" ht="33" customHeight="1" spans="1:12">
      <c r="A222" s="21"/>
      <c r="B222" s="22"/>
      <c r="C222" s="14" t="s">
        <v>554</v>
      </c>
      <c r="D222" s="15" t="s">
        <v>555</v>
      </c>
      <c r="E222" s="16">
        <v>6</v>
      </c>
      <c r="F222" s="17" t="s">
        <v>79</v>
      </c>
      <c r="G222" s="18">
        <f t="shared" si="3"/>
        <v>18</v>
      </c>
      <c r="H222" s="18" t="s">
        <v>18</v>
      </c>
      <c r="I222" s="18">
        <v>1072</v>
      </c>
      <c r="J222" s="28" t="s">
        <v>523</v>
      </c>
      <c r="K222" s="27">
        <v>4048</v>
      </c>
      <c r="L222" s="27"/>
    </row>
    <row r="223" s="4" customFormat="1" ht="33" customHeight="1" spans="1:12">
      <c r="A223" s="14">
        <v>378321</v>
      </c>
      <c r="B223" s="15" t="s">
        <v>588</v>
      </c>
      <c r="C223" s="14" t="s">
        <v>589</v>
      </c>
      <c r="D223" s="15" t="s">
        <v>590</v>
      </c>
      <c r="E223" s="16">
        <v>1</v>
      </c>
      <c r="F223" s="17" t="s">
        <v>591</v>
      </c>
      <c r="G223" s="18">
        <f t="shared" si="3"/>
        <v>370</v>
      </c>
      <c r="H223" s="18" t="s">
        <v>18</v>
      </c>
      <c r="I223" s="18">
        <v>1072</v>
      </c>
      <c r="J223" s="18" t="s">
        <v>124</v>
      </c>
      <c r="K223" s="27">
        <v>4061</v>
      </c>
      <c r="L223" s="27"/>
    </row>
    <row r="224" s="4" customFormat="1" ht="33" customHeight="1" spans="1:12">
      <c r="A224" s="14">
        <v>378377</v>
      </c>
      <c r="B224" s="15" t="s">
        <v>393</v>
      </c>
      <c r="C224" s="14" t="s">
        <v>63</v>
      </c>
      <c r="D224" s="14" t="s">
        <v>64</v>
      </c>
      <c r="E224" s="16">
        <v>2</v>
      </c>
      <c r="F224" s="17" t="s">
        <v>592</v>
      </c>
      <c r="G224" s="18">
        <f t="shared" si="3"/>
        <v>410</v>
      </c>
      <c r="H224" s="18" t="s">
        <v>18</v>
      </c>
      <c r="I224" s="18">
        <v>1072</v>
      </c>
      <c r="J224" s="18" t="s">
        <v>351</v>
      </c>
      <c r="K224" s="27">
        <v>4030</v>
      </c>
      <c r="L224" s="27"/>
    </row>
    <row r="225" s="4" customFormat="1" ht="33" customHeight="1" spans="1:12">
      <c r="A225" s="19">
        <v>378385</v>
      </c>
      <c r="B225" s="20" t="s">
        <v>593</v>
      </c>
      <c r="C225" s="14" t="s">
        <v>594</v>
      </c>
      <c r="D225" s="15" t="s">
        <v>595</v>
      </c>
      <c r="E225" s="16">
        <v>2</v>
      </c>
      <c r="F225" s="17" t="s">
        <v>596</v>
      </c>
      <c r="G225" s="18">
        <f t="shared" si="3"/>
        <v>42</v>
      </c>
      <c r="H225" s="18" t="s">
        <v>18</v>
      </c>
      <c r="I225" s="18">
        <v>1072</v>
      </c>
      <c r="J225" s="28" t="s">
        <v>109</v>
      </c>
      <c r="K225" s="27">
        <v>4155</v>
      </c>
      <c r="L225" s="27"/>
    </row>
    <row r="226" s="4" customFormat="1" ht="33" customHeight="1" spans="1:12">
      <c r="A226" s="23"/>
      <c r="B226" s="24"/>
      <c r="C226" s="14" t="s">
        <v>121</v>
      </c>
      <c r="D226" s="15" t="s">
        <v>122</v>
      </c>
      <c r="E226" s="16">
        <v>2</v>
      </c>
      <c r="F226" s="17" t="s">
        <v>123</v>
      </c>
      <c r="G226" s="18">
        <f t="shared" si="3"/>
        <v>144</v>
      </c>
      <c r="H226" s="18" t="s">
        <v>18</v>
      </c>
      <c r="I226" s="18">
        <v>1072</v>
      </c>
      <c r="J226" s="28" t="s">
        <v>109</v>
      </c>
      <c r="K226" s="27">
        <v>4155</v>
      </c>
      <c r="L226" s="27"/>
    </row>
    <row r="227" s="4" customFormat="1" ht="33" customHeight="1" spans="1:12">
      <c r="A227" s="23"/>
      <c r="B227" s="24"/>
      <c r="C227" s="14" t="s">
        <v>308</v>
      </c>
      <c r="D227" s="15" t="s">
        <v>309</v>
      </c>
      <c r="E227" s="16">
        <v>2</v>
      </c>
      <c r="F227" s="17" t="s">
        <v>310</v>
      </c>
      <c r="G227" s="18">
        <f t="shared" si="3"/>
        <v>4</v>
      </c>
      <c r="H227" s="18" t="s">
        <v>18</v>
      </c>
      <c r="I227" s="18">
        <v>1072</v>
      </c>
      <c r="J227" s="28" t="s">
        <v>109</v>
      </c>
      <c r="K227" s="27">
        <v>4155</v>
      </c>
      <c r="L227" s="30"/>
    </row>
    <row r="228" s="4" customFormat="1" ht="33" customHeight="1" spans="1:12">
      <c r="A228" s="23"/>
      <c r="B228" s="24"/>
      <c r="C228" s="14" t="s">
        <v>125</v>
      </c>
      <c r="D228" s="15" t="s">
        <v>126</v>
      </c>
      <c r="E228" s="16">
        <v>14</v>
      </c>
      <c r="F228" s="17" t="s">
        <v>127</v>
      </c>
      <c r="G228" s="18">
        <f t="shared" si="3"/>
        <v>854</v>
      </c>
      <c r="H228" s="18" t="s">
        <v>18</v>
      </c>
      <c r="I228" s="18">
        <v>1072</v>
      </c>
      <c r="J228" s="28" t="s">
        <v>109</v>
      </c>
      <c r="K228" s="27">
        <v>4155</v>
      </c>
      <c r="L228" s="27"/>
    </row>
    <row r="229" s="4" customFormat="1" ht="33" customHeight="1" spans="1:12">
      <c r="A229" s="23"/>
      <c r="B229" s="24"/>
      <c r="C229" s="14" t="s">
        <v>128</v>
      </c>
      <c r="D229" s="15" t="s">
        <v>129</v>
      </c>
      <c r="E229" s="16">
        <v>1</v>
      </c>
      <c r="F229" s="17" t="s">
        <v>130</v>
      </c>
      <c r="G229" s="18">
        <f t="shared" si="3"/>
        <v>83</v>
      </c>
      <c r="H229" s="18" t="s">
        <v>18</v>
      </c>
      <c r="I229" s="18">
        <v>1072</v>
      </c>
      <c r="J229" s="28" t="s">
        <v>109</v>
      </c>
      <c r="K229" s="27">
        <v>4155</v>
      </c>
      <c r="L229" s="27"/>
    </row>
    <row r="230" s="4" customFormat="1" ht="33" customHeight="1" spans="1:12">
      <c r="A230" s="23"/>
      <c r="B230" s="24"/>
      <c r="C230" s="14" t="s">
        <v>472</v>
      </c>
      <c r="D230" s="15" t="s">
        <v>473</v>
      </c>
      <c r="E230" s="16">
        <v>1</v>
      </c>
      <c r="F230" s="17" t="s">
        <v>127</v>
      </c>
      <c r="G230" s="18">
        <f t="shared" si="3"/>
        <v>61</v>
      </c>
      <c r="H230" s="18" t="s">
        <v>18</v>
      </c>
      <c r="I230" s="18">
        <v>1072</v>
      </c>
      <c r="J230" s="28" t="s">
        <v>109</v>
      </c>
      <c r="K230" s="27">
        <v>4155</v>
      </c>
      <c r="L230" s="27"/>
    </row>
    <row r="231" s="4" customFormat="1" ht="33" customHeight="1" spans="1:12">
      <c r="A231" s="23"/>
      <c r="B231" s="24"/>
      <c r="C231" s="14" t="s">
        <v>597</v>
      </c>
      <c r="D231" s="15" t="s">
        <v>598</v>
      </c>
      <c r="E231" s="16">
        <v>1</v>
      </c>
      <c r="F231" s="17" t="s">
        <v>446</v>
      </c>
      <c r="G231" s="18">
        <f t="shared" si="3"/>
        <v>8</v>
      </c>
      <c r="H231" s="18" t="s">
        <v>18</v>
      </c>
      <c r="I231" s="18">
        <v>1072</v>
      </c>
      <c r="J231" s="28" t="s">
        <v>109</v>
      </c>
      <c r="K231" s="27">
        <v>4155</v>
      </c>
      <c r="L231" s="27"/>
    </row>
    <row r="232" s="4" customFormat="1" ht="33" customHeight="1" spans="1:12">
      <c r="A232" s="23"/>
      <c r="B232" s="24"/>
      <c r="C232" s="14" t="s">
        <v>599</v>
      </c>
      <c r="D232" s="15" t="s">
        <v>600</v>
      </c>
      <c r="E232" s="16">
        <v>2</v>
      </c>
      <c r="F232" s="17" t="s">
        <v>93</v>
      </c>
      <c r="G232" s="18">
        <f t="shared" si="3"/>
        <v>22</v>
      </c>
      <c r="H232" s="18" t="s">
        <v>18</v>
      </c>
      <c r="I232" s="18">
        <v>1072</v>
      </c>
      <c r="J232" s="28" t="s">
        <v>109</v>
      </c>
      <c r="K232" s="27">
        <v>4155</v>
      </c>
      <c r="L232" s="27"/>
    </row>
    <row r="233" s="4" customFormat="1" ht="33" customHeight="1" spans="1:12">
      <c r="A233" s="23"/>
      <c r="B233" s="24"/>
      <c r="C233" s="14" t="s">
        <v>601</v>
      </c>
      <c r="D233" s="15" t="s">
        <v>602</v>
      </c>
      <c r="E233" s="16">
        <v>1</v>
      </c>
      <c r="F233" s="17" t="s">
        <v>310</v>
      </c>
      <c r="G233" s="18">
        <f t="shared" si="3"/>
        <v>2</v>
      </c>
      <c r="H233" s="18" t="s">
        <v>18</v>
      </c>
      <c r="I233" s="18">
        <v>1072</v>
      </c>
      <c r="J233" s="28" t="s">
        <v>109</v>
      </c>
      <c r="K233" s="27">
        <v>4155</v>
      </c>
      <c r="L233" s="27"/>
    </row>
    <row r="234" s="4" customFormat="1" ht="33" customHeight="1" spans="1:12">
      <c r="A234" s="23"/>
      <c r="B234" s="24"/>
      <c r="C234" s="14" t="s">
        <v>603</v>
      </c>
      <c r="D234" s="15" t="s">
        <v>604</v>
      </c>
      <c r="E234" s="16">
        <v>1</v>
      </c>
      <c r="F234" s="17" t="s">
        <v>512</v>
      </c>
      <c r="G234" s="18">
        <f t="shared" si="3"/>
        <v>304</v>
      </c>
      <c r="H234" s="18" t="s">
        <v>18</v>
      </c>
      <c r="I234" s="18">
        <v>1072</v>
      </c>
      <c r="J234" s="28" t="s">
        <v>109</v>
      </c>
      <c r="K234" s="27">
        <v>4155</v>
      </c>
      <c r="L234" s="27"/>
    </row>
    <row r="235" s="4" customFormat="1" ht="33" customHeight="1" spans="1:12">
      <c r="A235" s="23"/>
      <c r="B235" s="24"/>
      <c r="C235" s="14" t="s">
        <v>605</v>
      </c>
      <c r="D235" s="15" t="s">
        <v>606</v>
      </c>
      <c r="E235" s="16">
        <v>3</v>
      </c>
      <c r="F235" s="17" t="s">
        <v>180</v>
      </c>
      <c r="G235" s="18">
        <f t="shared" si="3"/>
        <v>21</v>
      </c>
      <c r="H235" s="18" t="s">
        <v>18</v>
      </c>
      <c r="I235" s="18">
        <v>1072</v>
      </c>
      <c r="J235" s="28" t="s">
        <v>109</v>
      </c>
      <c r="K235" s="27">
        <v>4155</v>
      </c>
      <c r="L235" s="27"/>
    </row>
    <row r="236" s="4" customFormat="1" ht="33" customHeight="1" spans="1:12">
      <c r="A236" s="23"/>
      <c r="B236" s="24"/>
      <c r="C236" s="14" t="s">
        <v>607</v>
      </c>
      <c r="D236" s="15" t="s">
        <v>608</v>
      </c>
      <c r="E236" s="16">
        <v>11</v>
      </c>
      <c r="F236" s="17" t="s">
        <v>446</v>
      </c>
      <c r="G236" s="18">
        <f t="shared" si="3"/>
        <v>88</v>
      </c>
      <c r="H236" s="18" t="s">
        <v>18</v>
      </c>
      <c r="I236" s="18">
        <v>1072</v>
      </c>
      <c r="J236" s="28" t="s">
        <v>109</v>
      </c>
      <c r="K236" s="27">
        <v>4155</v>
      </c>
      <c r="L236" s="27"/>
    </row>
    <row r="237" s="4" customFormat="1" ht="33" customHeight="1" spans="1:12">
      <c r="A237" s="23"/>
      <c r="B237" s="24"/>
      <c r="C237" s="14" t="s">
        <v>474</v>
      </c>
      <c r="D237" s="15" t="s">
        <v>475</v>
      </c>
      <c r="E237" s="16">
        <v>3</v>
      </c>
      <c r="F237" s="17" t="s">
        <v>476</v>
      </c>
      <c r="G237" s="18">
        <f t="shared" si="3"/>
        <v>363</v>
      </c>
      <c r="H237" s="18" t="s">
        <v>18</v>
      </c>
      <c r="I237" s="18">
        <v>1072</v>
      </c>
      <c r="J237" s="28" t="s">
        <v>109</v>
      </c>
      <c r="K237" s="27">
        <v>4155</v>
      </c>
      <c r="L237" s="27"/>
    </row>
    <row r="238" s="4" customFormat="1" ht="33" customHeight="1" spans="1:12">
      <c r="A238" s="23"/>
      <c r="B238" s="24"/>
      <c r="C238" s="14" t="s">
        <v>194</v>
      </c>
      <c r="D238" s="15" t="s">
        <v>195</v>
      </c>
      <c r="E238" s="16">
        <v>12</v>
      </c>
      <c r="F238" s="17" t="s">
        <v>130</v>
      </c>
      <c r="G238" s="18">
        <f t="shared" si="3"/>
        <v>996</v>
      </c>
      <c r="H238" s="18" t="s">
        <v>18</v>
      </c>
      <c r="I238" s="18">
        <v>1072</v>
      </c>
      <c r="J238" s="28" t="s">
        <v>109</v>
      </c>
      <c r="K238" s="27">
        <v>4155</v>
      </c>
      <c r="L238" s="27"/>
    </row>
    <row r="239" s="4" customFormat="1" ht="33" customHeight="1" spans="1:12">
      <c r="A239" s="23"/>
      <c r="B239" s="24"/>
      <c r="C239" s="14" t="s">
        <v>609</v>
      </c>
      <c r="D239" s="15" t="s">
        <v>610</v>
      </c>
      <c r="E239" s="16">
        <v>2</v>
      </c>
      <c r="F239" s="17" t="s">
        <v>587</v>
      </c>
      <c r="G239" s="18">
        <f t="shared" si="3"/>
        <v>12</v>
      </c>
      <c r="H239" s="18" t="s">
        <v>18</v>
      </c>
      <c r="I239" s="18">
        <v>1072</v>
      </c>
      <c r="J239" s="28" t="s">
        <v>109</v>
      </c>
      <c r="K239" s="27">
        <v>4155</v>
      </c>
      <c r="L239" s="27"/>
    </row>
    <row r="240" s="4" customFormat="1" ht="33" customHeight="1" spans="1:12">
      <c r="A240" s="23"/>
      <c r="B240" s="24"/>
      <c r="C240" s="14" t="s">
        <v>340</v>
      </c>
      <c r="D240" s="14" t="s">
        <v>341</v>
      </c>
      <c r="E240" s="16">
        <v>1</v>
      </c>
      <c r="F240" s="17" t="s">
        <v>326</v>
      </c>
      <c r="G240" s="18">
        <f t="shared" si="3"/>
        <v>243</v>
      </c>
      <c r="H240" s="18" t="s">
        <v>18</v>
      </c>
      <c r="I240" s="18">
        <v>1072</v>
      </c>
      <c r="J240" s="28" t="s">
        <v>109</v>
      </c>
      <c r="K240" s="27">
        <v>4155</v>
      </c>
      <c r="L240" s="27"/>
    </row>
    <row r="241" s="4" customFormat="1" ht="33" customHeight="1" spans="1:12">
      <c r="A241" s="21"/>
      <c r="B241" s="22"/>
      <c r="C241" s="14" t="s">
        <v>611</v>
      </c>
      <c r="D241" s="15" t="s">
        <v>612</v>
      </c>
      <c r="E241" s="16">
        <v>1</v>
      </c>
      <c r="F241" s="17" t="s">
        <v>79</v>
      </c>
      <c r="G241" s="18">
        <f t="shared" si="3"/>
        <v>3</v>
      </c>
      <c r="H241" s="18" t="s">
        <v>18</v>
      </c>
      <c r="I241" s="18">
        <v>1072</v>
      </c>
      <c r="J241" s="28" t="s">
        <v>109</v>
      </c>
      <c r="K241" s="27">
        <v>4155</v>
      </c>
      <c r="L241" s="27"/>
    </row>
    <row r="242" s="4" customFormat="1" ht="33" customHeight="1" spans="1:12">
      <c r="A242" s="14">
        <v>378390</v>
      </c>
      <c r="B242" s="15" t="s">
        <v>613</v>
      </c>
      <c r="C242" s="14" t="s">
        <v>614</v>
      </c>
      <c r="D242" s="14" t="s">
        <v>615</v>
      </c>
      <c r="E242" s="16">
        <v>2</v>
      </c>
      <c r="F242" s="17" t="s">
        <v>433</v>
      </c>
      <c r="G242" s="18">
        <f t="shared" si="3"/>
        <v>572</v>
      </c>
      <c r="H242" s="18" t="s">
        <v>18</v>
      </c>
      <c r="I242" s="18">
        <v>1072</v>
      </c>
      <c r="J242" s="28" t="s">
        <v>109</v>
      </c>
      <c r="K242" s="27">
        <v>4155</v>
      </c>
      <c r="L242" s="27"/>
    </row>
    <row r="243" s="4" customFormat="1" ht="33" customHeight="1" spans="1:12">
      <c r="A243" s="14">
        <v>378405</v>
      </c>
      <c r="B243" s="15" t="s">
        <v>616</v>
      </c>
      <c r="C243" s="14" t="s">
        <v>226</v>
      </c>
      <c r="D243" s="15" t="s">
        <v>227</v>
      </c>
      <c r="E243" s="16">
        <v>1</v>
      </c>
      <c r="F243" s="17" t="s">
        <v>617</v>
      </c>
      <c r="G243" s="18">
        <f t="shared" si="3"/>
        <v>496</v>
      </c>
      <c r="H243" s="18" t="s">
        <v>18</v>
      </c>
      <c r="I243" s="18">
        <v>1072</v>
      </c>
      <c r="J243" s="18" t="s">
        <v>618</v>
      </c>
      <c r="K243" s="27">
        <v>4041</v>
      </c>
      <c r="L243" s="27"/>
    </row>
    <row r="244" s="4" customFormat="1" ht="33" customHeight="1" spans="1:12">
      <c r="A244" s="14">
        <v>378434</v>
      </c>
      <c r="B244" s="15" t="s">
        <v>395</v>
      </c>
      <c r="C244" s="14" t="s">
        <v>619</v>
      </c>
      <c r="D244" s="15" t="s">
        <v>620</v>
      </c>
      <c r="E244" s="16">
        <v>3</v>
      </c>
      <c r="F244" s="17" t="s">
        <v>621</v>
      </c>
      <c r="G244" s="18">
        <f t="shared" si="3"/>
        <v>1455</v>
      </c>
      <c r="H244" s="18" t="s">
        <v>18</v>
      </c>
      <c r="I244" s="18">
        <v>1072</v>
      </c>
      <c r="J244" s="18" t="s">
        <v>177</v>
      </c>
      <c r="K244" s="27">
        <v>4150</v>
      </c>
      <c r="L244" s="27"/>
    </row>
    <row r="245" s="4" customFormat="1" ht="33" customHeight="1" spans="1:12">
      <c r="A245" s="14">
        <v>378445</v>
      </c>
      <c r="B245" s="15" t="s">
        <v>622</v>
      </c>
      <c r="C245" s="14" t="s">
        <v>190</v>
      </c>
      <c r="D245" s="14" t="s">
        <v>191</v>
      </c>
      <c r="E245" s="16">
        <v>1</v>
      </c>
      <c r="F245" s="17" t="s">
        <v>623</v>
      </c>
      <c r="G245" s="18">
        <f t="shared" si="3"/>
        <v>434</v>
      </c>
      <c r="H245" s="18" t="s">
        <v>18</v>
      </c>
      <c r="I245" s="18">
        <v>1072</v>
      </c>
      <c r="J245" s="28" t="s">
        <v>109</v>
      </c>
      <c r="K245" s="27">
        <v>4155</v>
      </c>
      <c r="L245" s="27"/>
    </row>
    <row r="246" s="4" customFormat="1" ht="33" customHeight="1" spans="1:12">
      <c r="A246" s="14">
        <v>378468</v>
      </c>
      <c r="B246" s="15" t="s">
        <v>624</v>
      </c>
      <c r="C246" s="14" t="s">
        <v>121</v>
      </c>
      <c r="D246" s="15" t="s">
        <v>122</v>
      </c>
      <c r="E246" s="16">
        <v>6</v>
      </c>
      <c r="F246" s="17" t="s">
        <v>123</v>
      </c>
      <c r="G246" s="18">
        <f t="shared" si="3"/>
        <v>432</v>
      </c>
      <c r="H246" s="18" t="s">
        <v>18</v>
      </c>
      <c r="I246" s="18">
        <v>1072</v>
      </c>
      <c r="J246" s="28" t="s">
        <v>109</v>
      </c>
      <c r="K246" s="27">
        <v>4155</v>
      </c>
      <c r="L246" s="30"/>
    </row>
    <row r="247" s="4" customFormat="1" ht="33" customHeight="1" spans="1:12">
      <c r="A247" s="19">
        <v>378498</v>
      </c>
      <c r="B247" s="20" t="s">
        <v>625</v>
      </c>
      <c r="C247" s="14" t="s">
        <v>626</v>
      </c>
      <c r="D247" s="15" t="s">
        <v>627</v>
      </c>
      <c r="E247" s="16">
        <v>1</v>
      </c>
      <c r="F247" s="17" t="s">
        <v>628</v>
      </c>
      <c r="G247" s="18">
        <f t="shared" si="3"/>
        <v>440</v>
      </c>
      <c r="H247" s="18" t="s">
        <v>18</v>
      </c>
      <c r="I247" s="18">
        <v>1072</v>
      </c>
      <c r="J247" s="28" t="s">
        <v>420</v>
      </c>
      <c r="K247" s="27">
        <v>4046</v>
      </c>
      <c r="L247" s="30"/>
    </row>
    <row r="248" s="4" customFormat="1" ht="33" customHeight="1" spans="1:12">
      <c r="A248" s="21"/>
      <c r="B248" s="22"/>
      <c r="C248" s="14" t="s">
        <v>305</v>
      </c>
      <c r="D248" s="15" t="s">
        <v>306</v>
      </c>
      <c r="E248" s="16">
        <v>1</v>
      </c>
      <c r="F248" s="17" t="s">
        <v>307</v>
      </c>
      <c r="G248" s="18">
        <f t="shared" si="3"/>
        <v>523</v>
      </c>
      <c r="H248" s="18" t="s">
        <v>18</v>
      </c>
      <c r="I248" s="18">
        <v>1072</v>
      </c>
      <c r="J248" s="28" t="s">
        <v>420</v>
      </c>
      <c r="K248" s="27">
        <v>4046</v>
      </c>
      <c r="L248" s="30"/>
    </row>
    <row r="249" s="4" customFormat="1" ht="33" customHeight="1" spans="1:12">
      <c r="A249" s="19">
        <v>378574</v>
      </c>
      <c r="B249" s="20" t="s">
        <v>629</v>
      </c>
      <c r="C249" s="14" t="s">
        <v>630</v>
      </c>
      <c r="D249" s="15" t="s">
        <v>631</v>
      </c>
      <c r="E249" s="16">
        <v>1</v>
      </c>
      <c r="F249" s="17" t="s">
        <v>245</v>
      </c>
      <c r="G249" s="18">
        <f t="shared" si="3"/>
        <v>245</v>
      </c>
      <c r="H249" s="18" t="s">
        <v>18</v>
      </c>
      <c r="I249" s="18">
        <v>1072</v>
      </c>
      <c r="J249" s="28" t="s">
        <v>447</v>
      </c>
      <c r="K249" s="27">
        <v>4180</v>
      </c>
      <c r="L249" s="27"/>
    </row>
    <row r="250" s="4" customFormat="1" ht="33" customHeight="1" spans="1:12">
      <c r="A250" s="23"/>
      <c r="B250" s="24"/>
      <c r="C250" s="14" t="s">
        <v>632</v>
      </c>
      <c r="D250" s="15" t="s">
        <v>633</v>
      </c>
      <c r="E250" s="16">
        <v>1</v>
      </c>
      <c r="F250" s="17" t="s">
        <v>634</v>
      </c>
      <c r="G250" s="18">
        <f t="shared" si="3"/>
        <v>265</v>
      </c>
      <c r="H250" s="18" t="s">
        <v>18</v>
      </c>
      <c r="I250" s="18">
        <v>1072</v>
      </c>
      <c r="J250" s="28" t="s">
        <v>447</v>
      </c>
      <c r="K250" s="27">
        <v>4180</v>
      </c>
      <c r="L250" s="27"/>
    </row>
    <row r="251" s="4" customFormat="1" ht="33" customHeight="1" spans="1:12">
      <c r="A251" s="23"/>
      <c r="B251" s="24"/>
      <c r="C251" s="14" t="s">
        <v>635</v>
      </c>
      <c r="D251" s="15" t="s">
        <v>636</v>
      </c>
      <c r="E251" s="16">
        <v>1</v>
      </c>
      <c r="F251" s="17" t="s">
        <v>637</v>
      </c>
      <c r="G251" s="18">
        <f t="shared" si="3"/>
        <v>14</v>
      </c>
      <c r="H251" s="18" t="s">
        <v>18</v>
      </c>
      <c r="I251" s="18">
        <v>1072</v>
      </c>
      <c r="J251" s="28" t="s">
        <v>447</v>
      </c>
      <c r="K251" s="27">
        <v>4180</v>
      </c>
      <c r="L251" s="27"/>
    </row>
    <row r="252" s="4" customFormat="1" ht="33" customHeight="1" spans="1:12">
      <c r="A252" s="23"/>
      <c r="B252" s="24"/>
      <c r="C252" s="14" t="s">
        <v>638</v>
      </c>
      <c r="D252" s="14" t="s">
        <v>639</v>
      </c>
      <c r="E252" s="16">
        <v>1</v>
      </c>
      <c r="F252" s="17" t="s">
        <v>640</v>
      </c>
      <c r="G252" s="18">
        <f t="shared" si="3"/>
        <v>126</v>
      </c>
      <c r="H252" s="18" t="s">
        <v>18</v>
      </c>
      <c r="I252" s="18">
        <v>1072</v>
      </c>
      <c r="J252" s="28" t="s">
        <v>447</v>
      </c>
      <c r="K252" s="27">
        <v>4180</v>
      </c>
      <c r="L252" s="30"/>
    </row>
    <row r="253" s="4" customFormat="1" ht="33" customHeight="1" spans="1:12">
      <c r="A253" s="23"/>
      <c r="B253" s="24"/>
      <c r="C253" s="14" t="s">
        <v>121</v>
      </c>
      <c r="D253" s="15" t="s">
        <v>122</v>
      </c>
      <c r="E253" s="16">
        <v>3</v>
      </c>
      <c r="F253" s="17" t="s">
        <v>500</v>
      </c>
      <c r="G253" s="18">
        <f t="shared" si="3"/>
        <v>255</v>
      </c>
      <c r="H253" s="18" t="s">
        <v>18</v>
      </c>
      <c r="I253" s="18">
        <v>1072</v>
      </c>
      <c r="J253" s="28" t="s">
        <v>447</v>
      </c>
      <c r="K253" s="27">
        <v>4180</v>
      </c>
      <c r="L253" s="27"/>
    </row>
    <row r="254" s="4" customFormat="1" ht="33" customHeight="1" spans="1:12">
      <c r="A254" s="23"/>
      <c r="B254" s="24"/>
      <c r="C254" s="14" t="s">
        <v>641</v>
      </c>
      <c r="D254" s="15" t="s">
        <v>642</v>
      </c>
      <c r="E254" s="16">
        <v>1</v>
      </c>
      <c r="F254" s="17" t="s">
        <v>112</v>
      </c>
      <c r="G254" s="18">
        <f t="shared" si="3"/>
        <v>10</v>
      </c>
      <c r="H254" s="18" t="s">
        <v>18</v>
      </c>
      <c r="I254" s="18">
        <v>1072</v>
      </c>
      <c r="J254" s="28" t="s">
        <v>447</v>
      </c>
      <c r="K254" s="27">
        <v>4180</v>
      </c>
      <c r="L254" s="27"/>
    </row>
    <row r="255" s="4" customFormat="1" ht="33" customHeight="1" spans="1:12">
      <c r="A255" s="23"/>
      <c r="B255" s="24"/>
      <c r="C255" s="14" t="s">
        <v>643</v>
      </c>
      <c r="D255" s="15" t="s">
        <v>644</v>
      </c>
      <c r="E255" s="16">
        <v>14</v>
      </c>
      <c r="F255" s="17" t="s">
        <v>112</v>
      </c>
      <c r="G255" s="18">
        <f t="shared" si="3"/>
        <v>140</v>
      </c>
      <c r="H255" s="18" t="s">
        <v>18</v>
      </c>
      <c r="I255" s="18">
        <v>1072</v>
      </c>
      <c r="J255" s="28" t="s">
        <v>447</v>
      </c>
      <c r="K255" s="27">
        <v>4180</v>
      </c>
      <c r="L255" s="27"/>
    </row>
    <row r="256" s="4" customFormat="1" ht="33" customHeight="1" spans="1:12">
      <c r="A256" s="23"/>
      <c r="B256" s="24"/>
      <c r="C256" s="14" t="s">
        <v>178</v>
      </c>
      <c r="D256" s="15" t="s">
        <v>179</v>
      </c>
      <c r="E256" s="16">
        <v>3</v>
      </c>
      <c r="F256" s="17" t="s">
        <v>446</v>
      </c>
      <c r="G256" s="18">
        <f t="shared" si="3"/>
        <v>24</v>
      </c>
      <c r="H256" s="18" t="s">
        <v>18</v>
      </c>
      <c r="I256" s="18">
        <v>1072</v>
      </c>
      <c r="J256" s="28" t="s">
        <v>447</v>
      </c>
      <c r="K256" s="27">
        <v>4180</v>
      </c>
      <c r="L256" s="27"/>
    </row>
    <row r="257" s="4" customFormat="1" ht="33" customHeight="1" spans="1:12">
      <c r="A257" s="23"/>
      <c r="B257" s="24"/>
      <c r="C257" s="14" t="s">
        <v>181</v>
      </c>
      <c r="D257" s="15" t="s">
        <v>182</v>
      </c>
      <c r="E257" s="16">
        <v>4</v>
      </c>
      <c r="F257" s="17" t="s">
        <v>553</v>
      </c>
      <c r="G257" s="18">
        <f t="shared" si="3"/>
        <v>20</v>
      </c>
      <c r="H257" s="18" t="s">
        <v>18</v>
      </c>
      <c r="I257" s="18">
        <v>1072</v>
      </c>
      <c r="J257" s="28" t="s">
        <v>447</v>
      </c>
      <c r="K257" s="27">
        <v>4180</v>
      </c>
      <c r="L257" s="30"/>
    </row>
    <row r="258" s="4" customFormat="1" ht="33" customHeight="1" spans="1:12">
      <c r="A258" s="23"/>
      <c r="B258" s="24"/>
      <c r="C258" s="14" t="s">
        <v>601</v>
      </c>
      <c r="D258" s="15" t="s">
        <v>602</v>
      </c>
      <c r="E258" s="16">
        <v>1</v>
      </c>
      <c r="F258" s="17" t="s">
        <v>310</v>
      </c>
      <c r="G258" s="18">
        <f t="shared" si="3"/>
        <v>2</v>
      </c>
      <c r="H258" s="18" t="s">
        <v>18</v>
      </c>
      <c r="I258" s="18">
        <v>1072</v>
      </c>
      <c r="J258" s="28" t="s">
        <v>447</v>
      </c>
      <c r="K258" s="27">
        <v>4180</v>
      </c>
      <c r="L258" s="27"/>
    </row>
    <row r="259" s="4" customFormat="1" ht="33" customHeight="1" spans="1:12">
      <c r="A259" s="23"/>
      <c r="B259" s="24"/>
      <c r="C259" s="14" t="s">
        <v>184</v>
      </c>
      <c r="D259" s="15" t="s">
        <v>185</v>
      </c>
      <c r="E259" s="16">
        <v>18</v>
      </c>
      <c r="F259" s="17" t="s">
        <v>645</v>
      </c>
      <c r="G259" s="18">
        <f t="shared" si="3"/>
        <v>1710</v>
      </c>
      <c r="H259" s="18" t="s">
        <v>18</v>
      </c>
      <c r="I259" s="18">
        <v>1072</v>
      </c>
      <c r="J259" s="28" t="s">
        <v>447</v>
      </c>
      <c r="K259" s="27">
        <v>4180</v>
      </c>
      <c r="L259" s="27"/>
    </row>
    <row r="260" s="4" customFormat="1" ht="33" customHeight="1" spans="1:12">
      <c r="A260" s="23"/>
      <c r="B260" s="24"/>
      <c r="C260" s="14" t="s">
        <v>214</v>
      </c>
      <c r="D260" s="15" t="s">
        <v>215</v>
      </c>
      <c r="E260" s="16">
        <v>14</v>
      </c>
      <c r="F260" s="17" t="s">
        <v>646</v>
      </c>
      <c r="G260" s="18">
        <f t="shared" si="3"/>
        <v>2310</v>
      </c>
      <c r="H260" s="18" t="s">
        <v>18</v>
      </c>
      <c r="I260" s="18">
        <v>1072</v>
      </c>
      <c r="J260" s="28" t="s">
        <v>447</v>
      </c>
      <c r="K260" s="27">
        <v>4180</v>
      </c>
      <c r="L260" s="27"/>
    </row>
    <row r="261" s="4" customFormat="1" ht="33" customHeight="1" spans="1:12">
      <c r="A261" s="23"/>
      <c r="B261" s="24"/>
      <c r="C261" s="14" t="s">
        <v>647</v>
      </c>
      <c r="D261" s="15" t="s">
        <v>648</v>
      </c>
      <c r="E261" s="16">
        <v>2</v>
      </c>
      <c r="F261" s="17" t="s">
        <v>649</v>
      </c>
      <c r="G261" s="18">
        <f>E261*F261</f>
        <v>520</v>
      </c>
      <c r="H261" s="18" t="s">
        <v>18</v>
      </c>
      <c r="I261" s="18">
        <v>1072</v>
      </c>
      <c r="J261" s="28" t="s">
        <v>447</v>
      </c>
      <c r="K261" s="27">
        <v>4180</v>
      </c>
      <c r="L261" s="27"/>
    </row>
    <row r="262" s="4" customFormat="1" ht="33" customHeight="1" spans="1:12">
      <c r="A262" s="23"/>
      <c r="B262" s="24"/>
      <c r="C262" s="14" t="s">
        <v>650</v>
      </c>
      <c r="D262" s="15" t="s">
        <v>651</v>
      </c>
      <c r="E262" s="16">
        <v>1</v>
      </c>
      <c r="F262" s="17" t="s">
        <v>204</v>
      </c>
      <c r="G262" s="18">
        <f>E262*F262</f>
        <v>90</v>
      </c>
      <c r="H262" s="18" t="s">
        <v>18</v>
      </c>
      <c r="I262" s="18">
        <v>1072</v>
      </c>
      <c r="J262" s="28" t="s">
        <v>447</v>
      </c>
      <c r="K262" s="27">
        <v>4180</v>
      </c>
      <c r="L262" s="27"/>
    </row>
    <row r="263" s="4" customFormat="1" ht="33" customHeight="1" spans="1:12">
      <c r="A263" s="23"/>
      <c r="B263" s="24"/>
      <c r="C263" s="14" t="s">
        <v>652</v>
      </c>
      <c r="D263" s="15" t="s">
        <v>653</v>
      </c>
      <c r="E263" s="16">
        <v>1</v>
      </c>
      <c r="F263" s="17" t="s">
        <v>654</v>
      </c>
      <c r="G263" s="18">
        <f>E263*F263</f>
        <v>723</v>
      </c>
      <c r="H263" s="18" t="s">
        <v>18</v>
      </c>
      <c r="I263" s="18">
        <v>1072</v>
      </c>
      <c r="J263" s="28" t="s">
        <v>447</v>
      </c>
      <c r="K263" s="27">
        <v>4180</v>
      </c>
      <c r="L263" s="27"/>
    </row>
    <row r="264" s="4" customFormat="1" ht="33" customHeight="1" spans="1:12">
      <c r="A264" s="23"/>
      <c r="B264" s="24"/>
      <c r="C264" s="14" t="s">
        <v>655</v>
      </c>
      <c r="D264" s="15" t="s">
        <v>656</v>
      </c>
      <c r="E264" s="16">
        <v>1</v>
      </c>
      <c r="F264" s="17" t="s">
        <v>657</v>
      </c>
      <c r="G264" s="18">
        <f>E264*F264</f>
        <v>335</v>
      </c>
      <c r="H264" s="18" t="s">
        <v>18</v>
      </c>
      <c r="I264" s="18">
        <v>1072</v>
      </c>
      <c r="J264" s="28" t="s">
        <v>447</v>
      </c>
      <c r="K264" s="27">
        <v>4180</v>
      </c>
      <c r="L264" s="27"/>
    </row>
    <row r="265" s="4" customFormat="1" ht="33" customHeight="1" spans="1:12">
      <c r="A265" s="23"/>
      <c r="B265" s="24"/>
      <c r="C265" s="14" t="s">
        <v>190</v>
      </c>
      <c r="D265" s="14" t="s">
        <v>191</v>
      </c>
      <c r="E265" s="16">
        <v>1</v>
      </c>
      <c r="F265" s="17" t="s">
        <v>658</v>
      </c>
      <c r="G265" s="18">
        <f>E265*F265</f>
        <v>478</v>
      </c>
      <c r="H265" s="18" t="s">
        <v>18</v>
      </c>
      <c r="I265" s="18">
        <v>1072</v>
      </c>
      <c r="J265" s="28" t="s">
        <v>447</v>
      </c>
      <c r="K265" s="27">
        <v>4180</v>
      </c>
      <c r="L265" s="27"/>
    </row>
    <row r="266" s="4" customFormat="1" ht="33" customHeight="1" spans="1:12">
      <c r="A266" s="23"/>
      <c r="B266" s="24"/>
      <c r="C266" s="14" t="s">
        <v>659</v>
      </c>
      <c r="D266" s="14" t="s">
        <v>660</v>
      </c>
      <c r="E266" s="16">
        <v>2</v>
      </c>
      <c r="F266" s="17" t="s">
        <v>661</v>
      </c>
      <c r="G266" s="18">
        <f>E266*F266</f>
        <v>30</v>
      </c>
      <c r="H266" s="18" t="s">
        <v>18</v>
      </c>
      <c r="I266" s="18">
        <v>1072</v>
      </c>
      <c r="J266" s="28" t="s">
        <v>447</v>
      </c>
      <c r="K266" s="27">
        <v>4180</v>
      </c>
      <c r="L266" s="27"/>
    </row>
    <row r="267" s="4" customFormat="1" ht="33" customHeight="1" spans="1:12">
      <c r="A267" s="21"/>
      <c r="B267" s="22"/>
      <c r="C267" s="14" t="s">
        <v>662</v>
      </c>
      <c r="D267" s="15" t="s">
        <v>663</v>
      </c>
      <c r="E267" s="16">
        <v>1</v>
      </c>
      <c r="F267" s="17" t="s">
        <v>79</v>
      </c>
      <c r="G267" s="18">
        <f>E267*F267</f>
        <v>3</v>
      </c>
      <c r="H267" s="18" t="s">
        <v>18</v>
      </c>
      <c r="I267" s="18">
        <v>1072</v>
      </c>
      <c r="J267" s="28" t="s">
        <v>447</v>
      </c>
      <c r="K267" s="27">
        <v>4180</v>
      </c>
      <c r="L267" s="27"/>
    </row>
    <row r="268" s="4" customFormat="1" ht="33" customHeight="1" spans="1:12">
      <c r="A268" s="14">
        <v>378582</v>
      </c>
      <c r="B268" s="15" t="s">
        <v>664</v>
      </c>
      <c r="C268" s="14" t="s">
        <v>665</v>
      </c>
      <c r="D268" s="15" t="s">
        <v>666</v>
      </c>
      <c r="E268" s="16">
        <v>1</v>
      </c>
      <c r="F268" s="17" t="s">
        <v>667</v>
      </c>
      <c r="G268" s="18">
        <f>E268*F268</f>
        <v>889</v>
      </c>
      <c r="H268" s="18" t="s">
        <v>18</v>
      </c>
      <c r="I268" s="18">
        <v>1072</v>
      </c>
      <c r="J268" s="18" t="s">
        <v>420</v>
      </c>
      <c r="K268" s="27">
        <v>4046</v>
      </c>
      <c r="L268" s="30"/>
    </row>
    <row r="269" s="4" customFormat="1" ht="33" customHeight="1" spans="1:12">
      <c r="A269" s="14">
        <v>378617</v>
      </c>
      <c r="B269" s="15" t="s">
        <v>668</v>
      </c>
      <c r="C269" s="14" t="s">
        <v>348</v>
      </c>
      <c r="D269" s="14" t="s">
        <v>349</v>
      </c>
      <c r="E269" s="16">
        <v>1</v>
      </c>
      <c r="F269" s="17" t="s">
        <v>255</v>
      </c>
      <c r="G269" s="18">
        <f>E269*F269</f>
        <v>308</v>
      </c>
      <c r="H269" s="18" t="s">
        <v>18</v>
      </c>
      <c r="I269" s="18">
        <v>1072</v>
      </c>
      <c r="J269" s="18" t="s">
        <v>177</v>
      </c>
      <c r="K269" s="27">
        <v>4150</v>
      </c>
      <c r="L269" s="27"/>
    </row>
    <row r="270" s="4" customFormat="1" ht="29" customHeight="1" spans="1:12">
      <c r="A270" s="14"/>
      <c r="B270" s="15"/>
      <c r="C270" s="14"/>
      <c r="D270" s="15"/>
      <c r="E270" s="16"/>
      <c r="F270" s="14"/>
      <c r="G270" s="18"/>
      <c r="H270" s="18"/>
      <c r="I270" s="18"/>
      <c r="J270" s="18"/>
      <c r="K270" s="32"/>
      <c r="L270" s="32"/>
    </row>
    <row r="271" s="4" customFormat="1" ht="33" customHeight="1" spans="1:12">
      <c r="A271" s="18" t="s">
        <v>669</v>
      </c>
      <c r="B271" s="27"/>
      <c r="C271" s="18"/>
      <c r="D271" s="18" t="s">
        <v>670</v>
      </c>
      <c r="E271" s="31"/>
      <c r="F271" s="18"/>
      <c r="G271" s="18"/>
      <c r="H271" s="18"/>
      <c r="I271" s="18"/>
      <c r="J271" s="18"/>
      <c r="K271" s="32"/>
      <c r="L271" s="32"/>
    </row>
    <row r="272" s="5" customFormat="1" ht="51" customHeight="1" spans="1:12">
      <c r="A272" s="32" t="s">
        <v>669</v>
      </c>
      <c r="B272" s="12"/>
      <c r="C272" s="33" t="s">
        <v>671</v>
      </c>
      <c r="D272" s="34" t="s">
        <v>672</v>
      </c>
      <c r="E272" s="34"/>
      <c r="F272" s="34"/>
      <c r="G272" s="34"/>
      <c r="H272" s="34"/>
      <c r="I272" s="34"/>
      <c r="J272" s="34"/>
      <c r="K272" s="32"/>
      <c r="L272" s="32"/>
    </row>
    <row r="273" s="5" customFormat="1" ht="33" customHeight="1" spans="1:12">
      <c r="A273" s="35"/>
      <c r="B273" s="12"/>
      <c r="C273" s="12"/>
      <c r="D273" s="34" t="s">
        <v>673</v>
      </c>
      <c r="E273" s="34"/>
      <c r="F273" s="34"/>
      <c r="G273" s="34"/>
      <c r="H273" s="34"/>
      <c r="I273" s="34"/>
      <c r="J273" s="34"/>
      <c r="K273" s="39"/>
      <c r="L273" s="39"/>
    </row>
    <row r="274" s="5" customFormat="1" customHeight="1" spans="1:12">
      <c r="A274" s="36" t="s">
        <v>674</v>
      </c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</row>
    <row r="277" customHeight="1" spans="1:1">
      <c r="A277" s="37" t="s">
        <v>675</v>
      </c>
    </row>
    <row r="278" customHeight="1" spans="1:1">
      <c r="A278" s="38"/>
    </row>
    <row r="279" customHeight="1" spans="1:1">
      <c r="A279" s="38"/>
    </row>
    <row r="280" customHeight="1" spans="1:1">
      <c r="A280" s="38"/>
    </row>
  </sheetData>
  <autoFilter xmlns:etc="http://www.wps.cn/officeDocument/2017/etCustomData" ref="A3:L269" etc:filterBottomFollowUsedRange="0">
    <extLst/>
  </autoFilter>
  <mergeCells count="81">
    <mergeCell ref="A1:L1"/>
    <mergeCell ref="A2:L2"/>
    <mergeCell ref="D272:G272"/>
    <mergeCell ref="D273:G273"/>
    <mergeCell ref="A274:L274"/>
    <mergeCell ref="A5:A6"/>
    <mergeCell ref="A7:A17"/>
    <mergeCell ref="A18:A19"/>
    <mergeCell ref="A20:A22"/>
    <mergeCell ref="A24:A27"/>
    <mergeCell ref="A28:A29"/>
    <mergeCell ref="A30:A32"/>
    <mergeCell ref="A34:A36"/>
    <mergeCell ref="A37:A38"/>
    <mergeCell ref="A39:A40"/>
    <mergeCell ref="A41:A45"/>
    <mergeCell ref="A46:A47"/>
    <mergeCell ref="A50:A56"/>
    <mergeCell ref="A57:A59"/>
    <mergeCell ref="A60:A62"/>
    <mergeCell ref="A63:A69"/>
    <mergeCell ref="A75:A76"/>
    <mergeCell ref="A77:A84"/>
    <mergeCell ref="A88:A89"/>
    <mergeCell ref="A90:A106"/>
    <mergeCell ref="A111:A112"/>
    <mergeCell ref="A120:A121"/>
    <mergeCell ref="A122:A123"/>
    <mergeCell ref="A126:A127"/>
    <mergeCell ref="A130:A131"/>
    <mergeCell ref="A143:A144"/>
    <mergeCell ref="A145:A147"/>
    <mergeCell ref="A153:A154"/>
    <mergeCell ref="A155:A169"/>
    <mergeCell ref="A170:A171"/>
    <mergeCell ref="A176:A180"/>
    <mergeCell ref="A181:A182"/>
    <mergeCell ref="A183:A186"/>
    <mergeCell ref="A189:A203"/>
    <mergeCell ref="A204:A222"/>
    <mergeCell ref="A225:A241"/>
    <mergeCell ref="A247:A248"/>
    <mergeCell ref="A249:A267"/>
    <mergeCell ref="B5:B6"/>
    <mergeCell ref="B7:B17"/>
    <mergeCell ref="B18:B19"/>
    <mergeCell ref="B20:B22"/>
    <mergeCell ref="B24:B27"/>
    <mergeCell ref="B28:B29"/>
    <mergeCell ref="B30:B32"/>
    <mergeCell ref="B34:B36"/>
    <mergeCell ref="B37:B38"/>
    <mergeCell ref="B39:B40"/>
    <mergeCell ref="B41:B45"/>
    <mergeCell ref="B46:B47"/>
    <mergeCell ref="B50:B56"/>
    <mergeCell ref="B57:B59"/>
    <mergeCell ref="B60:B62"/>
    <mergeCell ref="B63:B69"/>
    <mergeCell ref="B75:B76"/>
    <mergeCell ref="B77:B84"/>
    <mergeCell ref="B88:B89"/>
    <mergeCell ref="B90:B106"/>
    <mergeCell ref="B111:B112"/>
    <mergeCell ref="B120:B121"/>
    <mergeCell ref="B122:B123"/>
    <mergeCell ref="B126:B127"/>
    <mergeCell ref="B130:B131"/>
    <mergeCell ref="B134:B135"/>
    <mergeCell ref="B143:B144"/>
    <mergeCell ref="B145:B147"/>
    <mergeCell ref="B153:B154"/>
    <mergeCell ref="B155:B169"/>
    <mergeCell ref="B170:B171"/>
    <mergeCell ref="B176:B180"/>
    <mergeCell ref="B181:B182"/>
    <mergeCell ref="B183:B186"/>
    <mergeCell ref="B189:B222"/>
    <mergeCell ref="B225:B241"/>
    <mergeCell ref="B247:B248"/>
    <mergeCell ref="B249:B267"/>
  </mergeCells>
  <printOptions horizontalCentered="1"/>
  <pageMargins left="0.751388888888889" right="0.751388888888889" top="1" bottom="1" header="0.511805555555556" footer="0.511805555555556"/>
  <pageSetup paperSize="9" scale="8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C6" sqref="C6"/>
    </sheetView>
  </sheetViews>
  <sheetFormatPr defaultColWidth="9" defaultRowHeight="13.5" outlineLevelRow="6"/>
  <cols>
    <col min="1" max="1" width="15" style="1" customWidth="1"/>
    <col min="2" max="2" width="30.875" style="1" customWidth="1"/>
    <col min="3" max="3" width="29.375" style="1" customWidth="1"/>
    <col min="4" max="4" width="26.25" style="1" customWidth="1"/>
    <col min="5" max="11" width="9" style="1"/>
  </cols>
  <sheetData>
    <row r="1" spans="1:4">
      <c r="A1" s="1">
        <v>368673</v>
      </c>
      <c r="B1" s="1" t="s">
        <v>676</v>
      </c>
      <c r="C1" s="1" t="s">
        <v>677</v>
      </c>
      <c r="D1" s="1" t="s">
        <v>678</v>
      </c>
    </row>
    <row r="2" spans="1:4">
      <c r="A2" s="1">
        <v>368979</v>
      </c>
      <c r="B2" s="1" t="s">
        <v>679</v>
      </c>
      <c r="C2" s="1" t="s">
        <v>680</v>
      </c>
      <c r="D2" s="1" t="s">
        <v>678</v>
      </c>
    </row>
    <row r="3" spans="1:11">
      <c r="A3" s="1">
        <v>369297</v>
      </c>
      <c r="B3" s="1" t="s">
        <v>681</v>
      </c>
      <c r="C3" s="1" t="s">
        <v>682</v>
      </c>
      <c r="D3" s="1">
        <v>369297</v>
      </c>
      <c r="E3" s="1" t="s">
        <v>683</v>
      </c>
      <c r="F3" s="2" t="s">
        <v>684</v>
      </c>
      <c r="G3" s="1" t="s">
        <v>685</v>
      </c>
      <c r="H3" s="1" t="s">
        <v>686</v>
      </c>
      <c r="I3" s="1" t="s">
        <v>687</v>
      </c>
      <c r="J3" s="1" t="s">
        <v>688</v>
      </c>
      <c r="K3" s="1" t="s">
        <v>689</v>
      </c>
    </row>
    <row r="4" spans="1:6">
      <c r="A4" s="1">
        <v>370908</v>
      </c>
      <c r="B4" s="1" t="s">
        <v>690</v>
      </c>
      <c r="C4" s="1" t="s">
        <v>691</v>
      </c>
      <c r="D4" s="1" t="s">
        <v>692</v>
      </c>
      <c r="E4" s="1" t="s">
        <v>693</v>
      </c>
      <c r="F4" s="2" t="s">
        <v>694</v>
      </c>
    </row>
    <row r="5" spans="1:4">
      <c r="A5" s="1">
        <v>371178</v>
      </c>
      <c r="B5" s="1" t="s">
        <v>695</v>
      </c>
      <c r="C5" s="1" t="s">
        <v>696</v>
      </c>
      <c r="D5" s="1" t="s">
        <v>678</v>
      </c>
    </row>
    <row r="6" spans="1:6">
      <c r="A6" s="1">
        <v>371545</v>
      </c>
      <c r="B6" s="1" t="s">
        <v>697</v>
      </c>
      <c r="C6" s="1" t="s">
        <v>698</v>
      </c>
      <c r="D6" s="1" t="s">
        <v>699</v>
      </c>
      <c r="E6" s="1" t="s">
        <v>700</v>
      </c>
      <c r="F6" s="2" t="s">
        <v>701</v>
      </c>
    </row>
    <row r="7" spans="1:11">
      <c r="A7" s="1">
        <v>372068</v>
      </c>
      <c r="B7" s="1" t="s">
        <v>702</v>
      </c>
      <c r="C7" s="1" t="s">
        <v>682</v>
      </c>
      <c r="D7" s="1">
        <v>372068</v>
      </c>
      <c r="E7" s="1" t="s">
        <v>683</v>
      </c>
      <c r="F7" s="2" t="s">
        <v>684</v>
      </c>
      <c r="G7" s="1" t="s">
        <v>685</v>
      </c>
      <c r="H7" s="1" t="s">
        <v>686</v>
      </c>
      <c r="I7" s="1" t="s">
        <v>687</v>
      </c>
      <c r="J7" s="1" t="s">
        <v>688</v>
      </c>
      <c r="K7" s="1" t="s">
        <v>689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售后收费出库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  ping</cp:lastModifiedBy>
  <dcterms:created xsi:type="dcterms:W3CDTF">2018-09-03T08:22:00Z</dcterms:created>
  <dcterms:modified xsi:type="dcterms:W3CDTF">2025-11-03T01:49:54Z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true</vt:bool>
  </property>
  <property fmtid="{D5CDD505-2E9C-101B-9397-08002B2CF9AE}" pid="4" name="ICV">
    <vt:lpwstr>609B2F372A07466083473951D94318F9_13</vt:lpwstr>
  </property>
</Properties>
</file>