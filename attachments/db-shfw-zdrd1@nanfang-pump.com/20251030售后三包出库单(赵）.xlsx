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675" tabRatio="456"/>
  </bookViews>
  <sheets>
    <sheet name="售后三包出库 " sheetId="85" r:id="rId1"/>
  </sheets>
  <definedNames>
    <definedName name="_xlnm._FilterDatabase" localSheetId="0" hidden="1">'售后三包出库 '!$A$3:$N$3</definedName>
    <definedName name="_xlnm.Print_Area" localSheetId="0">'售后三包出库 '!$A$1:$N$33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<sst xmlns="http://schemas.openxmlformats.org/spreadsheetml/2006/main" count="175" uniqueCount="91">
  <si>
    <t>南方泵业股份有限公司售后服务卡出库通知单</t>
  </si>
  <si>
    <t>发件人：**联系电话：0000-888888</t>
  </si>
  <si>
    <t>服务卡编码（CRM号）</t>
  </si>
  <si>
    <r>
      <rPr>
        <sz val="11"/>
        <rFont val="微软雅黑"/>
        <charset val="134"/>
      </rPr>
      <t>客户名称（开票单位）统一编码</t>
    </r>
    <r>
      <rPr>
        <sz val="11"/>
        <color rgb="FFFF0000"/>
        <rFont val="微软雅黑"/>
        <charset val="134"/>
      </rPr>
      <t>20091939</t>
    </r>
  </si>
  <si>
    <t>物料编码</t>
  </si>
  <si>
    <t>物料名称</t>
  </si>
  <si>
    <t>数量</t>
  </si>
  <si>
    <t>单价</t>
  </si>
  <si>
    <t>金额（三包和维护的填0元）</t>
  </si>
  <si>
    <t>销售办事处（上门办办事处）</t>
  </si>
  <si>
    <t>销售办事处编码</t>
  </si>
  <si>
    <r>
      <rPr>
        <sz val="11"/>
        <rFont val="微软雅黑"/>
        <charset val="134"/>
      </rPr>
      <t>类别（三包和维护的填</t>
    </r>
    <r>
      <rPr>
        <sz val="11"/>
        <color rgb="FFFF0000"/>
        <rFont val="微软雅黑"/>
        <charset val="134"/>
      </rPr>
      <t>ZTNN,</t>
    </r>
    <r>
      <rPr>
        <sz val="11"/>
        <rFont val="微软雅黑"/>
        <charset val="134"/>
      </rPr>
      <t>收费的填ZTAN）</t>
    </r>
  </si>
  <si>
    <t>工厂</t>
  </si>
  <si>
    <t>库位（上门办办事处）</t>
  </si>
  <si>
    <t>上门办办事处编码</t>
  </si>
  <si>
    <t>备注费用承担方（显示备注抬头信息：文本）</t>
  </si>
  <si>
    <r>
      <rPr>
        <sz val="11"/>
        <rFont val="微软雅黑"/>
        <charset val="134"/>
      </rPr>
      <t>单泵三包期内客户</t>
    </r>
  </si>
  <si>
    <t>1400058212</t>
  </si>
  <si>
    <r>
      <rPr>
        <sz val="11"/>
        <rFont val="宋体"/>
        <charset val="134"/>
      </rPr>
      <t>出水导叶</t>
    </r>
    <r>
      <rPr>
        <sz val="11"/>
        <rFont val="Arial"/>
        <charset val="134"/>
      </rPr>
      <t>A|CDM10-05-00A|304</t>
    </r>
  </si>
  <si>
    <r>
      <rPr>
        <sz val="11"/>
        <rFont val="宋体"/>
        <charset val="134"/>
      </rPr>
      <t>青岛一部</t>
    </r>
  </si>
  <si>
    <t>ZTNN</t>
  </si>
  <si>
    <t>1400113998</t>
  </si>
  <si>
    <r>
      <rPr>
        <sz val="11"/>
        <rFont val="宋体"/>
        <charset val="134"/>
      </rPr>
      <t>泵轴</t>
    </r>
    <r>
      <rPr>
        <sz val="11"/>
        <rFont val="Arial"/>
        <charset val="134"/>
      </rPr>
      <t>|CDMG10-03|304|21</t>
    </r>
    <r>
      <rPr>
        <sz val="11"/>
        <rFont val="宋体"/>
        <charset val="134"/>
      </rPr>
      <t>级</t>
    </r>
    <r>
      <rPr>
        <sz val="11"/>
        <rFont val="Arial"/>
        <charset val="134"/>
      </rPr>
      <t>(832)</t>
    </r>
  </si>
  <si>
    <t>1400195678</t>
  </si>
  <si>
    <r>
      <rPr>
        <sz val="11"/>
        <rFont val="宋体"/>
        <charset val="134"/>
      </rPr>
      <t>接线盒盖</t>
    </r>
    <r>
      <rPr>
        <sz val="11"/>
        <rFont val="Arial"/>
        <charset val="134"/>
      </rPr>
      <t>|YE3-80|CHM</t>
    </r>
  </si>
  <si>
    <r>
      <rPr>
        <sz val="11"/>
        <rFont val="宋体"/>
        <charset val="134"/>
      </rPr>
      <t>淄博办</t>
    </r>
  </si>
  <si>
    <t>1500003243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</si>
  <si>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ZS-24/BS1F14</t>
    </r>
  </si>
  <si>
    <r>
      <rPr>
        <sz val="11"/>
        <rFont val="宋体"/>
        <charset val="134"/>
      </rPr>
      <t>温州一部</t>
    </r>
  </si>
  <si>
    <t>1400058558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</si>
  <si>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|CDM3-01-00|304</t>
    </r>
  </si>
  <si>
    <t>1500004257</t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</si>
  <si>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|6208ZZ|NSK|C3|ENS|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</si>
  <si>
    <r>
      <rPr>
        <sz val="11"/>
        <rFont val="宋体"/>
        <charset val="134"/>
      </rPr>
      <t>天津办</t>
    </r>
  </si>
  <si>
    <t>1500003651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</si>
  <si>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CDL-12/WB1F14</t>
    </r>
  </si>
  <si>
    <t>1500004283</t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</si>
  <si>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|6308ZZ|NSK|C3|ENS|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  <r>
      <rPr>
        <sz val="11"/>
        <rFont val="Arial"/>
        <charset val="134"/>
      </rPr>
      <t>(TT)</t>
    </r>
  </si>
  <si>
    <r>
      <rPr>
        <sz val="11"/>
        <rFont val="宋体"/>
        <charset val="134"/>
      </rPr>
      <t>沈阳办</t>
    </r>
  </si>
  <si>
    <t>1400039040</t>
  </si>
  <si>
    <r>
      <rPr>
        <sz val="11"/>
        <rFont val="宋体"/>
        <charset val="134"/>
      </rPr>
      <t>进出水段</t>
    </r>
    <r>
      <rPr>
        <sz val="11"/>
        <rFont val="Arial"/>
        <charset val="134"/>
      </rPr>
      <t>|CHM8-5/12-5|304</t>
    </r>
  </si>
  <si>
    <r>
      <rPr>
        <sz val="11"/>
        <rFont val="宋体"/>
        <charset val="134"/>
      </rPr>
      <t>石家庄一部</t>
    </r>
  </si>
  <si>
    <t>1500004249</t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</si>
  <si>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|6205ZZ</t>
    </r>
  </si>
  <si>
    <t>1500110961</t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</si>
  <si>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|6305ZZ|NSK|C3|ENS|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</si>
  <si>
    <t>1400004839</t>
  </si>
  <si>
    <r>
      <rPr>
        <sz val="11"/>
        <rFont val="宋体"/>
        <charset val="134"/>
      </rPr>
      <t>铁风罩</t>
    </r>
    <r>
      <rPr>
        <sz val="11"/>
        <rFont val="Arial"/>
        <charset val="134"/>
      </rPr>
      <t>|TD-YE3-225|</t>
    </r>
    <r>
      <rPr>
        <sz val="11"/>
        <rFont val="宋体"/>
        <charset val="134"/>
      </rPr>
      <t>三相</t>
    </r>
  </si>
  <si>
    <r>
      <rPr>
        <sz val="11"/>
        <rFont val="宋体"/>
        <charset val="134"/>
      </rPr>
      <t>济南四部</t>
    </r>
  </si>
  <si>
    <t>1400058161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</si>
  <si>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|CDM10-01-00|304</t>
    </r>
  </si>
  <si>
    <r>
      <rPr>
        <sz val="11"/>
        <rFont val="宋体"/>
        <charset val="134"/>
      </rPr>
      <t>嘉兴办</t>
    </r>
  </si>
  <si>
    <t>1400059244</t>
  </si>
  <si>
    <r>
      <rPr>
        <sz val="11"/>
        <rFont val="宋体"/>
        <charset val="134"/>
      </rPr>
      <t>支撑导叶</t>
    </r>
    <r>
      <rPr>
        <sz val="11"/>
        <rFont val="Arial"/>
        <charset val="134"/>
      </rPr>
      <t>B|CDM10-04-00B|</t>
    </r>
    <r>
      <rPr>
        <sz val="11"/>
        <rFont val="宋体"/>
        <charset val="134"/>
      </rPr>
      <t>热水</t>
    </r>
    <r>
      <rPr>
        <sz val="11"/>
        <rFont val="Arial"/>
        <charset val="134"/>
      </rPr>
      <t>|304</t>
    </r>
  </si>
  <si>
    <t>1400059248</t>
  </si>
  <si>
    <r>
      <rPr>
        <sz val="11"/>
        <rFont val="宋体"/>
        <charset val="134"/>
      </rPr>
      <t>导叶</t>
    </r>
    <r>
      <rPr>
        <sz val="11"/>
        <rFont val="Arial"/>
        <charset val="134"/>
      </rPr>
      <t>|CDM10-03-00|304</t>
    </r>
  </si>
  <si>
    <t>1500131652</t>
  </si>
  <si>
    <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|319X5|</t>
    </r>
    <r>
      <rPr>
        <sz val="11"/>
        <rFont val="宋体"/>
        <charset val="134"/>
      </rPr>
      <t>乙丙橡胶</t>
    </r>
  </si>
  <si>
    <r>
      <rPr>
        <sz val="11"/>
        <rFont val="宋体"/>
        <charset val="134"/>
      </rPr>
      <t>鞍山办</t>
    </r>
  </si>
  <si>
    <r>
      <rPr>
        <sz val="11"/>
        <rFont val="宋体"/>
        <charset val="134"/>
      </rPr>
      <t>湖州一部</t>
    </r>
  </si>
  <si>
    <t>1500004367</t>
  </si>
  <si>
    <r>
      <rPr>
        <sz val="11"/>
        <rFont val="宋体"/>
        <charset val="134"/>
      </rPr>
      <t>角接触球轴承</t>
    </r>
    <r>
      <rPr>
        <sz val="11"/>
        <rFont val="Arial"/>
        <charset val="134"/>
      </rPr>
      <t>|7311B</t>
    </r>
  </si>
  <si>
    <r>
      <rPr>
        <sz val="11"/>
        <rFont val="宋体"/>
        <charset val="134"/>
      </rPr>
      <t>四平办</t>
    </r>
  </si>
  <si>
    <t>1400059546</t>
  </si>
  <si>
    <r>
      <rPr>
        <sz val="11"/>
        <rFont val="宋体"/>
        <charset val="134"/>
      </rPr>
      <t>普通进出水段</t>
    </r>
    <r>
      <rPr>
        <sz val="11"/>
        <rFont val="Arial"/>
        <charset val="134"/>
      </rPr>
      <t>|CDM10-13-01A|HT200</t>
    </r>
  </si>
  <si>
    <r>
      <rPr>
        <sz val="11"/>
        <rFont val="宋体"/>
        <charset val="134"/>
      </rPr>
      <t>哈尔滨办</t>
    </r>
  </si>
  <si>
    <t>1400004833</t>
  </si>
  <si>
    <r>
      <rPr>
        <sz val="11"/>
        <rFont val="宋体"/>
        <charset val="134"/>
      </rPr>
      <t>铁风罩</t>
    </r>
    <r>
      <rPr>
        <sz val="11"/>
        <rFont val="Arial"/>
        <charset val="134"/>
      </rPr>
      <t>|TD-YE3-280|</t>
    </r>
    <r>
      <rPr>
        <sz val="11"/>
        <rFont val="宋体"/>
        <charset val="134"/>
      </rPr>
      <t>三相</t>
    </r>
  </si>
  <si>
    <r>
      <rPr>
        <sz val="11"/>
        <rFont val="宋体"/>
        <charset val="134"/>
      </rPr>
      <t>德州一部</t>
    </r>
  </si>
  <si>
    <t>1400003848</t>
  </si>
  <si>
    <r>
      <rPr>
        <sz val="11"/>
        <rFont val="宋体"/>
        <charset val="134"/>
      </rPr>
      <t>泵体</t>
    </r>
    <r>
      <rPr>
        <sz val="11"/>
        <rFont val="Arial"/>
        <charset val="134"/>
      </rPr>
      <t>|ZS50-32-160/2.2-02-00|316L</t>
    </r>
  </si>
  <si>
    <r>
      <rPr>
        <sz val="11"/>
        <rFont val="宋体"/>
        <charset val="134"/>
      </rPr>
      <t>绍兴办</t>
    </r>
  </si>
  <si>
    <t>1400074086</t>
  </si>
  <si>
    <r>
      <rPr>
        <sz val="11"/>
        <rFont val="宋体"/>
        <charset val="134"/>
      </rPr>
      <t>铁风罩</t>
    </r>
    <r>
      <rPr>
        <sz val="11"/>
        <rFont val="Arial"/>
        <charset val="134"/>
      </rPr>
      <t>|CDM-YE3-80|</t>
    </r>
    <r>
      <rPr>
        <sz val="11"/>
        <rFont val="宋体"/>
        <charset val="134"/>
      </rPr>
      <t>三相</t>
    </r>
  </si>
  <si>
    <r>
      <rPr>
        <sz val="11"/>
        <rFont val="宋体"/>
        <charset val="134"/>
      </rPr>
      <t>潍坊三部</t>
    </r>
  </si>
  <si>
    <t>1400074674</t>
  </si>
  <si>
    <r>
      <rPr>
        <sz val="11"/>
        <rFont val="宋体"/>
        <charset val="134"/>
      </rPr>
      <t>滤网</t>
    </r>
    <r>
      <rPr>
        <sz val="11"/>
        <rFont val="Arial"/>
        <charset val="134"/>
      </rPr>
      <t>|CDLK8-00-05G|304</t>
    </r>
  </si>
  <si>
    <t>1500003648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</si>
  <si>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CDL-12/WS2F14</t>
    </r>
  </si>
  <si>
    <t>1500153198</t>
  </si>
  <si>
    <r>
      <rPr>
        <sz val="11"/>
        <rFont val="宋体"/>
        <charset val="134"/>
      </rPr>
      <t>机械密封</t>
    </r>
    <r>
      <rPr>
        <sz val="11"/>
        <rFont val="Arial"/>
        <charset val="134"/>
      </rPr>
      <t>304|CHM-15|S1S2F54|</t>
    </r>
    <r>
      <rPr>
        <sz val="11"/>
        <rFont val="宋体"/>
        <charset val="134"/>
      </rPr>
      <t>精科</t>
    </r>
    <r>
      <rPr>
        <sz val="11"/>
        <rFont val="Arial"/>
        <charset val="134"/>
      </rPr>
      <t>|W5:W3.5</t>
    </r>
  </si>
  <si>
    <t>1500041110</t>
  </si>
  <si>
    <r>
      <rPr>
        <sz val="11"/>
        <rFont val="宋体"/>
        <charset val="134"/>
      </rPr>
      <t>纸箱</t>
    </r>
    <r>
      <rPr>
        <sz val="11"/>
        <rFont val="Arial"/>
        <charset val="134"/>
      </rPr>
      <t>CDL-ZBZ-01|750X320X300(</t>
    </r>
    <r>
      <rPr>
        <sz val="11"/>
        <rFont val="宋体"/>
        <charset val="134"/>
      </rPr>
      <t>白版</t>
    </r>
    <r>
      <rPr>
        <sz val="11"/>
        <rFont val="Arial"/>
        <charset val="134"/>
      </rPr>
      <t>)</t>
    </r>
  </si>
  <si>
    <r>
      <rPr>
        <sz val="11"/>
        <rFont val="宋体"/>
        <charset val="134"/>
      </rPr>
      <t>无锡一部</t>
    </r>
  </si>
  <si>
    <t>1500177964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</si>
  <si>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CDLA-16/WS2F04|</t>
    </r>
    <r>
      <rPr>
        <sz val="11"/>
        <rFont val="宋体"/>
        <charset val="134"/>
      </rPr>
      <t>精科</t>
    </r>
  </si>
  <si>
    <r>
      <rPr>
        <sz val="11"/>
        <rFont val="宋体"/>
        <charset val="134"/>
      </rPr>
      <t>奉贤办</t>
    </r>
  </si>
  <si>
    <t>用户状态（签收）</t>
  </si>
  <si>
    <t>备注1：</t>
  </si>
  <si>
    <t>备注2：</t>
  </si>
  <si>
    <t>发件人：**联系电话：8888-8888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</si>
</sst>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</numFmts>
  <fonts count="30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sz val="11"/>
      <name val="微软雅黑"/>
      <charset val="134"/>
    </font>
    <font>
      <sz val="11"/>
      <name val="Arial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9"/>
  <sheetViews>
    <sheetView tabSelected="1" zoomScale="85" zoomScaleNormal="85" zoomScaleSheetLayoutView="70" workbookViewId="0">
      <selection activeCell="F7" sqref="F7"/>
    </sheetView>
  </sheetViews>
  <sheetFormatPr defaultColWidth="9" defaultRowHeight="30" customHeight="1"/>
  <cols>
    <col min="1" max="1" width="12.6416666666667" style="3" customWidth="1"/>
    <col min="2" max="2" width="16.4666666666667" style="3" customWidth="1"/>
    <col min="3" max="3" width="15.2833333333333" style="4" customWidth="1"/>
    <col min="4" max="4" width="14.1" style="3" customWidth="1"/>
    <col min="5" max="5" width="11.3166666666667" style="4" customWidth="1"/>
    <col min="6" max="6" width="9.55833333333333" style="4" customWidth="1"/>
    <col min="7" max="7" width="10.875" style="4" customWidth="1"/>
    <col min="8" max="9" width="10.3" style="4" customWidth="1"/>
    <col min="10" max="10" width="15.5833333333333" style="4" customWidth="1"/>
    <col min="11" max="11" width="10.5833333333333" style="4" customWidth="1"/>
    <col min="12" max="12" width="13.525" style="4" customWidth="1"/>
    <col min="13" max="13" width="10.7333333333333" style="4" customWidth="1"/>
    <col min="14" max="14" width="48.5666666666667" style="4" customWidth="1"/>
    <col min="15" max="15" width="23.5666666666667" style="4" customWidth="1"/>
    <col min="16" max="16384" width="9" style="4"/>
  </cols>
  <sheetData>
    <row r="1" ht="49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49" customHeight="1" spans="1:14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="1" customFormat="1" ht="76" customHeight="1" spans="1:14">
      <c r="A3" s="7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8" t="s">
        <v>15</v>
      </c>
    </row>
    <row r="4" s="1" customFormat="1" ht="33" customHeight="1" spans="1:14">
      <c r="A4" s="9">
        <v>374994</v>
      </c>
      <c r="B4" s="10" t="s">
        <v>16</v>
      </c>
      <c r="C4" s="11" t="s">
        <v>17</v>
      </c>
      <c r="D4" s="11" t="s">
        <v>18</v>
      </c>
      <c r="E4" s="12">
        <v>1</v>
      </c>
      <c r="F4" s="13">
        <v>0</v>
      </c>
      <c r="G4" s="14">
        <f>E4*F4</f>
        <v>0</v>
      </c>
      <c r="H4" s="11" t="s">
        <v>19</v>
      </c>
      <c r="I4" s="13">
        <v>1074</v>
      </c>
      <c r="J4" s="14" t="s">
        <v>20</v>
      </c>
      <c r="K4" s="14">
        <v>1072</v>
      </c>
      <c r="L4" s="11" t="s">
        <v>19</v>
      </c>
      <c r="M4" s="14">
        <v>4072</v>
      </c>
      <c r="N4" s="13"/>
    </row>
    <row r="5" s="1" customFormat="1" ht="33" customHeight="1" spans="1:14">
      <c r="A5" s="9"/>
      <c r="B5" s="10"/>
      <c r="C5" s="11" t="s">
        <v>21</v>
      </c>
      <c r="D5" s="11" t="s">
        <v>22</v>
      </c>
      <c r="E5" s="12">
        <v>1</v>
      </c>
      <c r="F5" s="13">
        <v>0</v>
      </c>
      <c r="G5" s="14">
        <f t="shared" ref="G5:G30" si="0">E5*F5</f>
        <v>0</v>
      </c>
      <c r="H5" s="11" t="s">
        <v>19</v>
      </c>
      <c r="I5" s="13">
        <v>1074</v>
      </c>
      <c r="J5" s="14" t="s">
        <v>20</v>
      </c>
      <c r="K5" s="14">
        <v>1072</v>
      </c>
      <c r="L5" s="11" t="s">
        <v>19</v>
      </c>
      <c r="M5" s="14">
        <v>4072</v>
      </c>
      <c r="N5" s="13"/>
    </row>
    <row r="6" s="1" customFormat="1" ht="33" customHeight="1" spans="1:14">
      <c r="A6" s="9">
        <v>376203</v>
      </c>
      <c r="B6" s="15" t="s">
        <v>16</v>
      </c>
      <c r="C6" s="11" t="s">
        <v>23</v>
      </c>
      <c r="D6" s="11" t="s">
        <v>24</v>
      </c>
      <c r="E6" s="12">
        <v>1</v>
      </c>
      <c r="F6" s="13">
        <v>0</v>
      </c>
      <c r="G6" s="14">
        <f t="shared" si="0"/>
        <v>0</v>
      </c>
      <c r="H6" s="11" t="s">
        <v>25</v>
      </c>
      <c r="I6" s="13">
        <v>1073</v>
      </c>
      <c r="J6" s="14" t="s">
        <v>20</v>
      </c>
      <c r="K6" s="14">
        <v>1072</v>
      </c>
      <c r="L6" s="11" t="s">
        <v>25</v>
      </c>
      <c r="M6" s="14">
        <v>4071</v>
      </c>
      <c r="N6" s="13"/>
    </row>
    <row r="7" s="1" customFormat="1" ht="33" customHeight="1" spans="1:14">
      <c r="A7" s="9">
        <v>376392</v>
      </c>
      <c r="B7" s="10" t="s">
        <v>16</v>
      </c>
      <c r="C7" s="11" t="s">
        <v>26</v>
      </c>
      <c r="D7" s="11" t="s">
        <v>27</v>
      </c>
      <c r="E7" s="12">
        <v>1</v>
      </c>
      <c r="F7" s="13">
        <v>0</v>
      </c>
      <c r="G7" s="14">
        <f t="shared" si="0"/>
        <v>0</v>
      </c>
      <c r="H7" s="11" t="s">
        <v>28</v>
      </c>
      <c r="I7" s="13">
        <v>1011</v>
      </c>
      <c r="J7" s="14" t="s">
        <v>20</v>
      </c>
      <c r="K7" s="14">
        <v>1072</v>
      </c>
      <c r="L7" s="11" t="s">
        <v>28</v>
      </c>
      <c r="M7" s="14">
        <v>4012</v>
      </c>
      <c r="N7" s="13"/>
    </row>
    <row r="8" s="1" customFormat="1" ht="33" customHeight="1" spans="1:14">
      <c r="A8" s="9"/>
      <c r="B8" s="10"/>
      <c r="C8" s="11" t="s">
        <v>29</v>
      </c>
      <c r="D8" s="11" t="s">
        <v>30</v>
      </c>
      <c r="E8" s="12">
        <v>1</v>
      </c>
      <c r="F8" s="13">
        <v>0</v>
      </c>
      <c r="G8" s="14">
        <f t="shared" si="0"/>
        <v>0</v>
      </c>
      <c r="H8" s="11" t="s">
        <v>28</v>
      </c>
      <c r="I8" s="13">
        <v>1011</v>
      </c>
      <c r="J8" s="14" t="s">
        <v>20</v>
      </c>
      <c r="K8" s="14">
        <v>1072</v>
      </c>
      <c r="L8" s="11" t="s">
        <v>28</v>
      </c>
      <c r="M8" s="14">
        <v>4012</v>
      </c>
      <c r="N8" s="13"/>
    </row>
    <row r="9" s="1" customFormat="1" ht="33" customHeight="1" spans="1:14">
      <c r="A9" s="9">
        <v>376715</v>
      </c>
      <c r="B9" s="15" t="s">
        <v>16</v>
      </c>
      <c r="C9" s="11" t="s">
        <v>31</v>
      </c>
      <c r="D9" s="11" t="s">
        <v>32</v>
      </c>
      <c r="E9" s="12">
        <v>2</v>
      </c>
      <c r="F9" s="13">
        <v>0</v>
      </c>
      <c r="G9" s="14">
        <f t="shared" si="0"/>
        <v>0</v>
      </c>
      <c r="H9" s="11" t="s">
        <v>33</v>
      </c>
      <c r="I9" s="13">
        <v>1093</v>
      </c>
      <c r="J9" s="14" t="s">
        <v>20</v>
      </c>
      <c r="K9" s="14">
        <v>1072</v>
      </c>
      <c r="L9" s="11" t="s">
        <v>33</v>
      </c>
      <c r="M9" s="14">
        <v>4091</v>
      </c>
      <c r="N9" s="13"/>
    </row>
    <row r="10" s="1" customFormat="1" ht="33" customHeight="1" spans="1:14">
      <c r="A10" s="9">
        <v>376996</v>
      </c>
      <c r="B10" s="15" t="s">
        <v>16</v>
      </c>
      <c r="C10" s="11" t="s">
        <v>34</v>
      </c>
      <c r="D10" s="11" t="s">
        <v>35</v>
      </c>
      <c r="E10" s="12">
        <v>1</v>
      </c>
      <c r="F10" s="13">
        <v>0</v>
      </c>
      <c r="G10" s="14">
        <f t="shared" si="0"/>
        <v>0</v>
      </c>
      <c r="H10" s="11" t="s">
        <v>28</v>
      </c>
      <c r="I10" s="13">
        <v>1011</v>
      </c>
      <c r="J10" s="14" t="s">
        <v>20</v>
      </c>
      <c r="K10" s="14">
        <v>1072</v>
      </c>
      <c r="L10" s="11" t="s">
        <v>28</v>
      </c>
      <c r="M10" s="14">
        <v>4012</v>
      </c>
      <c r="N10" s="13"/>
    </row>
    <row r="11" s="1" customFormat="1" ht="33" customHeight="1" spans="1:14">
      <c r="A11" s="9">
        <v>377033</v>
      </c>
      <c r="B11" s="15" t="s">
        <v>16</v>
      </c>
      <c r="C11" s="11" t="s">
        <v>36</v>
      </c>
      <c r="D11" s="11" t="s">
        <v>37</v>
      </c>
      <c r="E11" s="12">
        <v>2</v>
      </c>
      <c r="F11" s="13">
        <v>0</v>
      </c>
      <c r="G11" s="14">
        <f t="shared" si="0"/>
        <v>0</v>
      </c>
      <c r="H11" s="11" t="s">
        <v>38</v>
      </c>
      <c r="I11" s="13">
        <v>1078</v>
      </c>
      <c r="J11" s="14" t="s">
        <v>20</v>
      </c>
      <c r="K11" s="14">
        <v>1072</v>
      </c>
      <c r="L11" s="11" t="s">
        <v>38</v>
      </c>
      <c r="M11" s="14">
        <v>4076</v>
      </c>
      <c r="N11" s="13"/>
    </row>
    <row r="12" s="1" customFormat="1" ht="33" customHeight="1" spans="1:14">
      <c r="A12" s="9">
        <v>377112</v>
      </c>
      <c r="B12" s="15" t="s">
        <v>16</v>
      </c>
      <c r="C12" s="11" t="s">
        <v>39</v>
      </c>
      <c r="D12" s="11" t="s">
        <v>40</v>
      </c>
      <c r="E12" s="12">
        <v>1</v>
      </c>
      <c r="F12" s="13">
        <v>0</v>
      </c>
      <c r="G12" s="14">
        <f t="shared" si="0"/>
        <v>0</v>
      </c>
      <c r="H12" s="11" t="s">
        <v>41</v>
      </c>
      <c r="I12" s="13">
        <v>1082</v>
      </c>
      <c r="J12" s="14" t="s">
        <v>20</v>
      </c>
      <c r="K12" s="14">
        <v>1072</v>
      </c>
      <c r="L12" s="11" t="s">
        <v>41</v>
      </c>
      <c r="M12" s="14">
        <v>4080</v>
      </c>
      <c r="N12" s="13"/>
    </row>
    <row r="13" s="1" customFormat="1" ht="33" customHeight="1" spans="1:14">
      <c r="A13" s="9">
        <v>377198</v>
      </c>
      <c r="B13" s="10" t="s">
        <v>16</v>
      </c>
      <c r="C13" s="11" t="s">
        <v>42</v>
      </c>
      <c r="D13" s="11" t="s">
        <v>43</v>
      </c>
      <c r="E13" s="12">
        <v>1</v>
      </c>
      <c r="F13" s="13">
        <v>0</v>
      </c>
      <c r="G13" s="14">
        <f t="shared" si="0"/>
        <v>0</v>
      </c>
      <c r="H13" s="11" t="s">
        <v>25</v>
      </c>
      <c r="I13" s="13">
        <v>1073</v>
      </c>
      <c r="J13" s="14" t="s">
        <v>20</v>
      </c>
      <c r="K13" s="14">
        <v>1072</v>
      </c>
      <c r="L13" s="11" t="s">
        <v>25</v>
      </c>
      <c r="M13" s="14">
        <v>4071</v>
      </c>
      <c r="N13" s="13"/>
    </row>
    <row r="14" s="1" customFormat="1" ht="33" customHeight="1" spans="1:14">
      <c r="A14" s="9"/>
      <c r="B14" s="10"/>
      <c r="C14" s="11" t="s">
        <v>44</v>
      </c>
      <c r="D14" s="11" t="s">
        <v>45</v>
      </c>
      <c r="E14" s="12">
        <v>1</v>
      </c>
      <c r="F14" s="13">
        <v>0</v>
      </c>
      <c r="G14" s="14">
        <f t="shared" si="0"/>
        <v>0</v>
      </c>
      <c r="H14" s="11" t="s">
        <v>25</v>
      </c>
      <c r="I14" s="13">
        <v>1073</v>
      </c>
      <c r="J14" s="14" t="s">
        <v>20</v>
      </c>
      <c r="K14" s="14">
        <v>1072</v>
      </c>
      <c r="L14" s="11" t="s">
        <v>25</v>
      </c>
      <c r="M14" s="14">
        <v>4071</v>
      </c>
      <c r="N14" s="13"/>
    </row>
    <row r="15" s="1" customFormat="1" ht="33" customHeight="1" spans="1:14">
      <c r="A15" s="9">
        <v>377200</v>
      </c>
      <c r="B15" s="15" t="s">
        <v>16</v>
      </c>
      <c r="C15" s="11" t="s">
        <v>46</v>
      </c>
      <c r="D15" s="11" t="s">
        <v>47</v>
      </c>
      <c r="E15" s="12">
        <v>1</v>
      </c>
      <c r="F15" s="13">
        <v>0</v>
      </c>
      <c r="G15" s="14">
        <f t="shared" si="0"/>
        <v>0</v>
      </c>
      <c r="H15" s="11" t="s">
        <v>48</v>
      </c>
      <c r="I15" s="13">
        <v>1069</v>
      </c>
      <c r="J15" s="14" t="s">
        <v>20</v>
      </c>
      <c r="K15" s="14">
        <v>1072</v>
      </c>
      <c r="L15" s="11" t="s">
        <v>48</v>
      </c>
      <c r="M15" s="14">
        <v>4067</v>
      </c>
      <c r="N15" s="13"/>
    </row>
    <row r="16" s="1" customFormat="1" ht="33" customHeight="1" spans="1:14">
      <c r="A16" s="9">
        <v>377248</v>
      </c>
      <c r="B16" s="10" t="s">
        <v>16</v>
      </c>
      <c r="C16" s="11" t="s">
        <v>49</v>
      </c>
      <c r="D16" s="11" t="s">
        <v>50</v>
      </c>
      <c r="E16" s="12">
        <v>5</v>
      </c>
      <c r="F16" s="13">
        <v>0</v>
      </c>
      <c r="G16" s="14">
        <f t="shared" si="0"/>
        <v>0</v>
      </c>
      <c r="H16" s="11" t="s">
        <v>51</v>
      </c>
      <c r="I16" s="13">
        <v>1010</v>
      </c>
      <c r="J16" s="14" t="s">
        <v>20</v>
      </c>
      <c r="K16" s="14">
        <v>1072</v>
      </c>
      <c r="L16" s="11" t="s">
        <v>51</v>
      </c>
      <c r="M16" s="14">
        <v>4011</v>
      </c>
      <c r="N16" s="13"/>
    </row>
    <row r="17" s="1" customFormat="1" ht="33" customHeight="1" spans="1:14">
      <c r="A17" s="9"/>
      <c r="B17" s="10"/>
      <c r="C17" s="11" t="s">
        <v>52</v>
      </c>
      <c r="D17" s="11" t="s">
        <v>53</v>
      </c>
      <c r="E17" s="12">
        <v>1</v>
      </c>
      <c r="F17" s="13">
        <v>0</v>
      </c>
      <c r="G17" s="14">
        <f t="shared" si="0"/>
        <v>0</v>
      </c>
      <c r="H17" s="11" t="s">
        <v>51</v>
      </c>
      <c r="I17" s="13">
        <v>1010</v>
      </c>
      <c r="J17" s="14" t="s">
        <v>20</v>
      </c>
      <c r="K17" s="14">
        <v>1072</v>
      </c>
      <c r="L17" s="11" t="s">
        <v>51</v>
      </c>
      <c r="M17" s="14">
        <v>4011</v>
      </c>
      <c r="N17" s="13"/>
    </row>
    <row r="18" s="1" customFormat="1" ht="33" customHeight="1" spans="1:14">
      <c r="A18" s="9"/>
      <c r="B18" s="10"/>
      <c r="C18" s="11" t="s">
        <v>54</v>
      </c>
      <c r="D18" s="11" t="s">
        <v>55</v>
      </c>
      <c r="E18" s="12">
        <v>5</v>
      </c>
      <c r="F18" s="13">
        <v>0</v>
      </c>
      <c r="G18" s="14">
        <f t="shared" si="0"/>
        <v>0</v>
      </c>
      <c r="H18" s="11" t="s">
        <v>51</v>
      </c>
      <c r="I18" s="13">
        <v>1010</v>
      </c>
      <c r="J18" s="14" t="s">
        <v>20</v>
      </c>
      <c r="K18" s="14">
        <v>1072</v>
      </c>
      <c r="L18" s="11" t="s">
        <v>51</v>
      </c>
      <c r="M18" s="14">
        <v>4011</v>
      </c>
      <c r="N18" s="13"/>
    </row>
    <row r="19" s="1" customFormat="1" ht="33" customHeight="1" spans="1:14">
      <c r="A19" s="9">
        <v>377283</v>
      </c>
      <c r="B19" s="15" t="s">
        <v>16</v>
      </c>
      <c r="C19" s="11" t="s">
        <v>56</v>
      </c>
      <c r="D19" s="11" t="s">
        <v>57</v>
      </c>
      <c r="E19" s="12">
        <v>2</v>
      </c>
      <c r="F19" s="13">
        <v>0</v>
      </c>
      <c r="G19" s="14">
        <f t="shared" si="0"/>
        <v>0</v>
      </c>
      <c r="H19" s="11" t="s">
        <v>58</v>
      </c>
      <c r="I19" s="13">
        <v>1113</v>
      </c>
      <c r="J19" s="14" t="s">
        <v>20</v>
      </c>
      <c r="K19" s="14">
        <v>1072</v>
      </c>
      <c r="L19" s="11" t="s">
        <v>58</v>
      </c>
      <c r="M19" s="14">
        <v>4120</v>
      </c>
      <c r="N19" s="13"/>
    </row>
    <row r="20" s="1" customFormat="1" ht="33" customHeight="1" spans="1:14">
      <c r="A20" s="9">
        <v>377322</v>
      </c>
      <c r="B20" s="15" t="s">
        <v>16</v>
      </c>
      <c r="C20" s="11" t="s">
        <v>42</v>
      </c>
      <c r="D20" s="11" t="s">
        <v>43</v>
      </c>
      <c r="E20" s="12">
        <v>2</v>
      </c>
      <c r="F20" s="13">
        <v>0</v>
      </c>
      <c r="G20" s="14">
        <f t="shared" si="0"/>
        <v>0</v>
      </c>
      <c r="H20" s="11" t="s">
        <v>59</v>
      </c>
      <c r="I20" s="13">
        <v>1012</v>
      </c>
      <c r="J20" s="14" t="s">
        <v>20</v>
      </c>
      <c r="K20" s="14">
        <v>1072</v>
      </c>
      <c r="L20" s="11" t="s">
        <v>59</v>
      </c>
      <c r="M20" s="14">
        <v>4013</v>
      </c>
      <c r="N20" s="13"/>
    </row>
    <row r="21" s="1" customFormat="1" ht="33" customHeight="1" spans="1:14">
      <c r="A21" s="9">
        <v>377360</v>
      </c>
      <c r="B21" s="15" t="s">
        <v>16</v>
      </c>
      <c r="C21" s="11" t="s">
        <v>60</v>
      </c>
      <c r="D21" s="11" t="s">
        <v>61</v>
      </c>
      <c r="E21" s="12">
        <v>1</v>
      </c>
      <c r="F21" s="13">
        <v>0</v>
      </c>
      <c r="G21" s="14">
        <f t="shared" si="0"/>
        <v>0</v>
      </c>
      <c r="H21" s="11" t="s">
        <v>62</v>
      </c>
      <c r="I21" s="13">
        <v>1087</v>
      </c>
      <c r="J21" s="14" t="s">
        <v>20</v>
      </c>
      <c r="K21" s="14">
        <v>1072</v>
      </c>
      <c r="L21" s="11" t="s">
        <v>62</v>
      </c>
      <c r="M21" s="14">
        <v>4085</v>
      </c>
      <c r="N21" s="13"/>
    </row>
    <row r="22" s="1" customFormat="1" ht="33" customHeight="1" spans="1:14">
      <c r="A22" s="9">
        <v>377450</v>
      </c>
      <c r="B22" s="15" t="s">
        <v>16</v>
      </c>
      <c r="C22" s="11" t="s">
        <v>63</v>
      </c>
      <c r="D22" s="11" t="s">
        <v>64</v>
      </c>
      <c r="E22" s="12">
        <v>1</v>
      </c>
      <c r="F22" s="13">
        <v>0</v>
      </c>
      <c r="G22" s="14">
        <f t="shared" si="0"/>
        <v>0</v>
      </c>
      <c r="H22" s="11" t="s">
        <v>65</v>
      </c>
      <c r="I22" s="13">
        <v>1080</v>
      </c>
      <c r="J22" s="14" t="s">
        <v>20</v>
      </c>
      <c r="K22" s="14">
        <v>1072</v>
      </c>
      <c r="L22" s="11" t="s">
        <v>65</v>
      </c>
      <c r="M22" s="14">
        <v>4078</v>
      </c>
      <c r="N22" s="13"/>
    </row>
    <row r="23" s="1" customFormat="1" ht="33" customHeight="1" spans="1:14">
      <c r="A23" s="16">
        <v>377574</v>
      </c>
      <c r="B23" s="15" t="s">
        <v>16</v>
      </c>
      <c r="C23" s="17" t="s">
        <v>66</v>
      </c>
      <c r="D23" s="17" t="s">
        <v>67</v>
      </c>
      <c r="E23" s="18">
        <v>1</v>
      </c>
      <c r="F23" s="13">
        <v>0</v>
      </c>
      <c r="G23" s="14">
        <f t="shared" si="0"/>
        <v>0</v>
      </c>
      <c r="H23" s="17" t="s">
        <v>68</v>
      </c>
      <c r="I23" s="13">
        <v>1072</v>
      </c>
      <c r="J23" s="14" t="s">
        <v>20</v>
      </c>
      <c r="K23" s="14">
        <v>1072</v>
      </c>
      <c r="L23" s="17" t="s">
        <v>68</v>
      </c>
      <c r="M23" s="14">
        <v>4070</v>
      </c>
      <c r="N23" s="13"/>
    </row>
    <row r="24" s="1" customFormat="1" ht="33" customHeight="1" spans="1:14">
      <c r="A24" s="9">
        <v>377624</v>
      </c>
      <c r="B24" s="15" t="s">
        <v>16</v>
      </c>
      <c r="C24" s="11" t="s">
        <v>69</v>
      </c>
      <c r="D24" s="11" t="s">
        <v>70</v>
      </c>
      <c r="E24" s="12">
        <v>1</v>
      </c>
      <c r="F24" s="13">
        <v>0</v>
      </c>
      <c r="G24" s="14">
        <f t="shared" si="0"/>
        <v>0</v>
      </c>
      <c r="H24" s="11" t="s">
        <v>71</v>
      </c>
      <c r="I24" s="13">
        <v>1008</v>
      </c>
      <c r="J24" s="14" t="s">
        <v>20</v>
      </c>
      <c r="K24" s="14">
        <v>1072</v>
      </c>
      <c r="L24" s="11" t="s">
        <v>71</v>
      </c>
      <c r="M24" s="14">
        <v>4009</v>
      </c>
      <c r="N24" s="13"/>
    </row>
    <row r="25" s="1" customFormat="1" ht="33" customHeight="1" spans="1:14">
      <c r="A25" s="9">
        <v>377700</v>
      </c>
      <c r="B25" s="10" t="s">
        <v>16</v>
      </c>
      <c r="C25" s="11" t="s">
        <v>72</v>
      </c>
      <c r="D25" s="11" t="s">
        <v>73</v>
      </c>
      <c r="E25" s="12">
        <v>1</v>
      </c>
      <c r="F25" s="13">
        <v>0</v>
      </c>
      <c r="G25" s="14">
        <f t="shared" si="0"/>
        <v>0</v>
      </c>
      <c r="H25" s="11" t="s">
        <v>74</v>
      </c>
      <c r="I25" s="13">
        <v>1237</v>
      </c>
      <c r="J25" s="14" t="s">
        <v>20</v>
      </c>
      <c r="K25" s="14">
        <v>1072</v>
      </c>
      <c r="L25" s="11" t="s">
        <v>74</v>
      </c>
      <c r="M25" s="14">
        <v>4222</v>
      </c>
      <c r="N25" s="13"/>
    </row>
    <row r="26" s="1" customFormat="1" ht="33" customHeight="1" spans="1:14">
      <c r="A26" s="9"/>
      <c r="B26" s="10"/>
      <c r="C26" s="11" t="s">
        <v>75</v>
      </c>
      <c r="D26" s="11" t="s">
        <v>76</v>
      </c>
      <c r="E26" s="12">
        <v>1</v>
      </c>
      <c r="F26" s="13">
        <v>0</v>
      </c>
      <c r="G26" s="14">
        <f t="shared" si="0"/>
        <v>0</v>
      </c>
      <c r="H26" s="11" t="s">
        <v>74</v>
      </c>
      <c r="I26" s="13">
        <v>1237</v>
      </c>
      <c r="J26" s="14" t="s">
        <v>20</v>
      </c>
      <c r="K26" s="14">
        <v>1072</v>
      </c>
      <c r="L26" s="11" t="s">
        <v>74</v>
      </c>
      <c r="M26" s="14">
        <v>4222</v>
      </c>
      <c r="N26" s="13"/>
    </row>
    <row r="27" s="1" customFormat="1" ht="33" customHeight="1" spans="1:14">
      <c r="A27" s="9"/>
      <c r="B27" s="10"/>
      <c r="C27" s="11" t="s">
        <v>77</v>
      </c>
      <c r="D27" s="11" t="s">
        <v>78</v>
      </c>
      <c r="E27" s="12">
        <v>1</v>
      </c>
      <c r="F27" s="13">
        <v>0</v>
      </c>
      <c r="G27" s="14">
        <f t="shared" si="0"/>
        <v>0</v>
      </c>
      <c r="H27" s="11" t="s">
        <v>74</v>
      </c>
      <c r="I27" s="13">
        <v>1237</v>
      </c>
      <c r="J27" s="14" t="s">
        <v>20</v>
      </c>
      <c r="K27" s="14">
        <v>1072</v>
      </c>
      <c r="L27" s="11" t="s">
        <v>74</v>
      </c>
      <c r="M27" s="14">
        <v>4222</v>
      </c>
      <c r="N27" s="13"/>
    </row>
    <row r="28" s="1" customFormat="1" ht="33" customHeight="1" spans="1:14">
      <c r="A28" s="9">
        <v>377716</v>
      </c>
      <c r="B28" s="15" t="s">
        <v>16</v>
      </c>
      <c r="C28" s="11" t="s">
        <v>79</v>
      </c>
      <c r="D28" s="11" t="s">
        <v>80</v>
      </c>
      <c r="E28" s="12">
        <v>1</v>
      </c>
      <c r="F28" s="13">
        <v>0</v>
      </c>
      <c r="G28" s="14">
        <f t="shared" si="0"/>
        <v>0</v>
      </c>
      <c r="H28" s="11" t="s">
        <v>51</v>
      </c>
      <c r="I28" s="13">
        <v>1010</v>
      </c>
      <c r="J28" s="14" t="s">
        <v>20</v>
      </c>
      <c r="K28" s="14">
        <v>1072</v>
      </c>
      <c r="L28" s="11" t="s">
        <v>51</v>
      </c>
      <c r="M28" s="14">
        <v>4011</v>
      </c>
      <c r="N28" s="13"/>
    </row>
    <row r="29" s="1" customFormat="1" ht="33" customHeight="1" spans="1:14">
      <c r="A29" s="9">
        <v>377800</v>
      </c>
      <c r="B29" s="15" t="s">
        <v>16</v>
      </c>
      <c r="C29" s="11" t="s">
        <v>81</v>
      </c>
      <c r="D29" s="11" t="s">
        <v>82</v>
      </c>
      <c r="E29" s="12">
        <v>2</v>
      </c>
      <c r="F29" s="13">
        <v>0</v>
      </c>
      <c r="G29" s="14">
        <f t="shared" si="0"/>
        <v>0</v>
      </c>
      <c r="H29" s="11" t="s">
        <v>83</v>
      </c>
      <c r="I29" s="13">
        <v>1017</v>
      </c>
      <c r="J29" s="14" t="s">
        <v>20</v>
      </c>
      <c r="K29" s="14">
        <v>1072</v>
      </c>
      <c r="L29" s="11" t="s">
        <v>83</v>
      </c>
      <c r="M29" s="14">
        <v>4018</v>
      </c>
      <c r="N29" s="13"/>
    </row>
    <row r="30" s="1" customFormat="1" ht="33" customHeight="1" spans="1:14">
      <c r="A30" s="9">
        <v>378011</v>
      </c>
      <c r="B30" s="15" t="s">
        <v>16</v>
      </c>
      <c r="C30" s="11" t="s">
        <v>84</v>
      </c>
      <c r="D30" s="11" t="s">
        <v>85</v>
      </c>
      <c r="E30" s="12">
        <v>1</v>
      </c>
      <c r="F30" s="13">
        <v>0</v>
      </c>
      <c r="G30" s="14">
        <f t="shared" si="0"/>
        <v>0</v>
      </c>
      <c r="H30" s="11" t="s">
        <v>86</v>
      </c>
      <c r="I30" s="13">
        <v>1006</v>
      </c>
      <c r="J30" s="14" t="s">
        <v>20</v>
      </c>
      <c r="K30" s="14">
        <v>1072</v>
      </c>
      <c r="L30" s="11" t="s">
        <v>86</v>
      </c>
      <c r="M30" s="14">
        <v>4007</v>
      </c>
      <c r="N30" s="13"/>
    </row>
    <row r="31" s="2" customFormat="1" ht="51" customHeight="1" spans="1:14">
      <c r="A31" s="19"/>
      <c r="B31" s="19"/>
      <c r="C31" s="19" t="s">
        <v>87</v>
      </c>
      <c r="D31" s="20" t="s">
        <v>88</v>
      </c>
      <c r="E31" s="20"/>
      <c r="F31" s="20"/>
      <c r="G31" s="8"/>
      <c r="H31" s="20"/>
      <c r="I31" s="13"/>
      <c r="J31" s="20"/>
      <c r="K31" s="20"/>
      <c r="L31" s="20"/>
      <c r="M31" s="14"/>
      <c r="N31" s="22"/>
    </row>
    <row r="32" s="2" customFormat="1" ht="33" customHeight="1" spans="1:14">
      <c r="A32" s="19"/>
      <c r="B32" s="19"/>
      <c r="C32" s="19"/>
      <c r="D32" s="20" t="s">
        <v>89</v>
      </c>
      <c r="E32" s="20"/>
      <c r="F32" s="20"/>
      <c r="G32" s="8"/>
      <c r="H32" s="20"/>
      <c r="I32" s="13"/>
      <c r="J32" s="20"/>
      <c r="K32" s="20"/>
      <c r="L32" s="20"/>
      <c r="M32" s="14"/>
      <c r="N32" s="22"/>
    </row>
    <row r="33" s="2" customFormat="1" customHeight="1" spans="1:14">
      <c r="A33" s="6" t="s">
        <v>90</v>
      </c>
      <c r="B33" s="6"/>
      <c r="C33" s="6"/>
      <c r="D33" s="6"/>
      <c r="E33" s="6"/>
      <c r="F33" s="6"/>
      <c r="G33" s="8">
        <f>E33*F33</f>
        <v>0</v>
      </c>
      <c r="H33" s="6"/>
      <c r="I33" s="13"/>
      <c r="J33" s="6"/>
      <c r="K33" s="6"/>
      <c r="L33" s="6"/>
      <c r="M33" s="14"/>
      <c r="N33" s="6"/>
    </row>
    <row r="36" customHeight="1" spans="1:1">
      <c r="A36" s="21"/>
    </row>
    <row r="37" customHeight="1" spans="1:1">
      <c r="A37" s="21"/>
    </row>
    <row r="38" customHeight="1" spans="1:1">
      <c r="A38" s="21"/>
    </row>
    <row r="39" customHeight="1" spans="1:1">
      <c r="A39" s="21"/>
    </row>
  </sheetData>
  <mergeCells count="12">
    <mergeCell ref="A1:N1"/>
    <mergeCell ref="A2:N2"/>
    <mergeCell ref="A4:A5"/>
    <mergeCell ref="A7:A8"/>
    <mergeCell ref="A13:A14"/>
    <mergeCell ref="A16:A18"/>
    <mergeCell ref="A25:A27"/>
    <mergeCell ref="B4:B5"/>
    <mergeCell ref="B7:B8"/>
    <mergeCell ref="B13:B14"/>
    <mergeCell ref="B16:B18"/>
    <mergeCell ref="B25:B27"/>
  </mergeCells>
  <printOptions horizontalCentered="1"/>
  <pageMargins left="0.751388888888889" right="0.751388888888889" top="1" bottom="1" header="0.511805555555556" footer="0.511805555555556"/>
  <pageSetup paperSize="9" scale="8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售后三包出库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布之家～窗帘 墙布</cp:lastModifiedBy>
  <dcterms:created xsi:type="dcterms:W3CDTF">2018-09-03T08:22:00Z</dcterms:created>
  <dcterms:modified xsi:type="dcterms:W3CDTF">2025-10-30T05:37:57Z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true</vt:bool>
  </property>
  <property fmtid="{D5CDD505-2E9C-101B-9397-08002B2CF9AE}" pid="4" name="ICV">
    <vt:lpwstr>4E347BEE90D64E3F90F3DBC04F9873AD_13</vt:lpwstr>
  </property>
</Properties>
</file>