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tabRatio="456"/>
  </bookViews>
  <sheets>
    <sheet name="售后三包出库 " sheetId="85" r:id="rId1"/>
  </sheets>
  <definedNames>
    <definedName name="_xlnm._FilterDatabase" localSheetId="0" hidden="1">'售后三包出库 '!$A$3:$N$50</definedName>
    <definedName name="_xlnm.Print_Area" localSheetId="0">'售后三包出库 '!$A$1:$N$54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<sst xmlns="http://schemas.openxmlformats.org/spreadsheetml/2006/main" count="349" uniqueCount="129">
  <si>
    <t>南方泵业股份有限公司售后服务卡出库通知单</t>
  </si>
  <si>
    <t>发件人：**  联系电话：0000-888888</t>
  </si>
  <si>
    <t>服务卡编码（CRM号）</t>
  </si>
  <si>
    <r>
      <rPr>
        <sz val="11"/>
        <rFont val="微软雅黑"/>
        <charset val="134"/>
      </rPr>
      <t>客户名称（开票单位）统一编码</t>
    </r>
    <r>
      <rPr>
        <sz val="11"/>
        <color rgb="FFFF0000"/>
        <rFont val="微软雅黑"/>
        <charset val="134"/>
      </rPr>
      <t>20091939</t>
    </r>
  </si>
  <si>
    <t>物料编码</t>
  </si>
  <si>
    <t>物料名称</t>
  </si>
  <si>
    <t>数量</t>
  </si>
  <si>
    <t>单 价</t>
  </si>
  <si>
    <t>金 额（三包和维护的填0元）</t>
  </si>
  <si>
    <t>销售办事处（上门办办事处）</t>
  </si>
  <si>
    <t>销售办事处编码</t>
  </si>
  <si>
    <r>
      <rPr>
        <sz val="11"/>
        <rFont val="微软雅黑"/>
        <charset val="134"/>
      </rPr>
      <t>类别（三包和维护的填</t>
    </r>
    <r>
      <rPr>
        <sz val="11"/>
        <color rgb="FFFF0000"/>
        <rFont val="微软雅黑"/>
        <charset val="134"/>
      </rPr>
      <t>ZTNN,</t>
    </r>
    <r>
      <rPr>
        <sz val="11"/>
        <rFont val="微软雅黑"/>
        <charset val="134"/>
      </rPr>
      <t>收费的填ZTAN）</t>
    </r>
  </si>
  <si>
    <t>工厂</t>
  </si>
  <si>
    <t>库位（上门办办事处）</t>
  </si>
  <si>
    <t>办事处库位对应编码</t>
  </si>
  <si>
    <t>备注费用承担方（显示备注抬头信息：文本）</t>
  </si>
  <si>
    <t>单泵三包期内客户</t>
  </si>
  <si>
    <t>1400006901</t>
  </si>
  <si>
    <t>轴套|CDL8A-06|LS30|Ф22x17.4x14</t>
  </si>
  <si>
    <t>海口办</t>
  </si>
  <si>
    <t>ZTNN</t>
  </si>
  <si>
    <t>费用由海口办承担</t>
  </si>
  <si>
    <t>1400058161</t>
  </si>
  <si>
    <t>叶轮|CDM10-01-00|304</t>
  </si>
  <si>
    <t>1400058252</t>
  </si>
  <si>
    <t>泵轴|CDM10-06|304|12级(482)</t>
  </si>
  <si>
    <t>1400059229</t>
  </si>
  <si>
    <t>叶轮隔套|CDM-GT-29*17.4|304</t>
  </si>
  <si>
    <t>1400059248</t>
  </si>
  <si>
    <t>导叶|CDM10-03-00|304</t>
  </si>
  <si>
    <t>1500004278</t>
  </si>
  <si>
    <t>深沟球轴承|6306ZZ</t>
  </si>
  <si>
    <t>1500004761</t>
  </si>
  <si>
    <t>O形圈|169X3.3|丁腈橡胶</t>
  </si>
  <si>
    <t>1500004306</t>
  </si>
  <si>
    <t>深沟球轴承|6314ZZ|NSK|C3|ENS|高温160℃(TT)</t>
  </si>
  <si>
    <t>汕头办</t>
  </si>
  <si>
    <t>保内三包</t>
  </si>
  <si>
    <t>1500004315</t>
  </si>
  <si>
    <t>深沟球轴承|6317ZZ</t>
  </si>
  <si>
    <t>1500010464</t>
  </si>
  <si>
    <t>304机械密封TD-28/BS1E4</t>
  </si>
  <si>
    <t>重庆二部</t>
  </si>
  <si>
    <t>费用由临港办承担</t>
  </si>
  <si>
    <t>1400227941</t>
  </si>
  <si>
    <t>进出水段|NFXCN-CHM4-04-00|5-60|304|卡盘</t>
  </si>
  <si>
    <t>周口办</t>
  </si>
  <si>
    <t>1500153198</t>
  </si>
  <si>
    <t>机械密封304|CHM-15|S1S2F54|精科|W5:W3.5</t>
  </si>
  <si>
    <t>1500004249</t>
  </si>
  <si>
    <t>深沟球轴承|6205ZZ</t>
  </si>
  <si>
    <t>兰州办</t>
  </si>
  <si>
    <t>昆明办</t>
  </si>
  <si>
    <t>1500060248</t>
  </si>
  <si>
    <t>316L机械密封CHM-19/S1B1F16</t>
  </si>
  <si>
    <t>1400003842</t>
  </si>
  <si>
    <t>泵体|ZS65-50-160/5.5-04-00|304</t>
  </si>
  <si>
    <t>1500004303</t>
  </si>
  <si>
    <t>深沟球轴承|6313ZZ|NSK|C3|ENS|高温160℃</t>
  </si>
  <si>
    <t>黄石办</t>
  </si>
  <si>
    <t>重庆一部</t>
  </si>
  <si>
    <t>安阳办</t>
  </si>
  <si>
    <t>费用由安阳办承担</t>
  </si>
  <si>
    <t>1500116188</t>
  </si>
  <si>
    <t>深沟球轴承|6314ZZ|SKF</t>
  </si>
  <si>
    <t>1500029996</t>
  </si>
  <si>
    <t>304机械密封CHM-19/S1B1F4</t>
  </si>
  <si>
    <t>深圳一部</t>
  </si>
  <si>
    <t>1400077057</t>
  </si>
  <si>
    <t>叶轮|NIS200-150-250(Q)/11-01|HT200|Φ192|原配</t>
  </si>
  <si>
    <t>中山办</t>
  </si>
  <si>
    <t>1500003741</t>
  </si>
  <si>
    <t>304机械密封NISO-53/BS1E4</t>
  </si>
  <si>
    <t>1500006038</t>
  </si>
  <si>
    <t>弹性垫CJ55/70</t>
  </si>
  <si>
    <t>西安三部</t>
  </si>
  <si>
    <t>1400290398</t>
  </si>
  <si>
    <t>进口法兰|32ZW10-10(Y)</t>
  </si>
  <si>
    <t>宣城办</t>
  </si>
  <si>
    <t>武汉一部</t>
  </si>
  <si>
    <t>费用由南通办承担</t>
  </si>
  <si>
    <t>1400066999</t>
  </si>
  <si>
    <t>后端盖|TD-YE3-100-2P</t>
  </si>
  <si>
    <t>费用由合肥办承担</t>
  </si>
  <si>
    <t>1500015412</t>
  </si>
  <si>
    <t>深沟球轴承|6206ZZ|NSK|C3|ENS|高温160℃</t>
  </si>
  <si>
    <t>1500003472</t>
  </si>
  <si>
    <t>304机械密封CDLA-16/WB1F14</t>
  </si>
  <si>
    <t>武汉二部</t>
  </si>
  <si>
    <t>成都一部</t>
  </si>
  <si>
    <t>1500004275</t>
  </si>
  <si>
    <t>深沟球轴承|6305ZZ</t>
  </si>
  <si>
    <t>1400002493</t>
  </si>
  <si>
    <t>泵体|TD50-48-01|HT200|PN16</t>
  </si>
  <si>
    <t>太原办</t>
  </si>
  <si>
    <t>1400289119</t>
  </si>
  <si>
    <t>铁风罩|ZM-YE4-280S-2|B35</t>
  </si>
  <si>
    <t>重庆三部</t>
  </si>
  <si>
    <t>1500004247</t>
  </si>
  <si>
    <t>深沟球轴承|6204ZZ</t>
  </si>
  <si>
    <t>南昌二部</t>
  </si>
  <si>
    <t>费用由重庆一部承担</t>
  </si>
  <si>
    <t>1400006323</t>
  </si>
  <si>
    <t>支撑导叶|CDL20-05-00|LS30|常温|抛光|304</t>
  </si>
  <si>
    <t>洛阳办</t>
  </si>
  <si>
    <t>费用由常州办承担</t>
  </si>
  <si>
    <t>1400006421</t>
  </si>
  <si>
    <t>支撑壳体|CDLK20-01-03C|LS30|常温|304</t>
  </si>
  <si>
    <t>1500003683</t>
  </si>
  <si>
    <t>304机械密封CDL-16/WS2F14</t>
  </si>
  <si>
    <t>1500006036</t>
  </si>
  <si>
    <t>弹性垫CJ42/55</t>
  </si>
  <si>
    <t>成都三部</t>
  </si>
  <si>
    <t>1500003321</t>
  </si>
  <si>
    <t>304机械密封TDS-28/BS1E4</t>
  </si>
  <si>
    <t>1400080845</t>
  </si>
  <si>
    <t>防护板|CDM-F-186|304</t>
  </si>
  <si>
    <t>1500003227</t>
  </si>
  <si>
    <t>304机械密封ZS-24/WWE4|刀口机封</t>
  </si>
  <si>
    <t>芜湖办</t>
  </si>
  <si>
    <t>费用由湖州二部承担</t>
  </si>
  <si>
    <t>长沙一部</t>
  </si>
  <si>
    <t>1500003679</t>
  </si>
  <si>
    <t>304机械密封CDL-16/WB1F14</t>
  </si>
  <si>
    <t>东莞一部</t>
  </si>
  <si>
    <t>用户状态（签收）</t>
  </si>
  <si>
    <t>备注1：</t>
  </si>
  <si>
    <t>备注2：</t>
  </si>
  <si>
    <t>发件人：**  联系电话：8888-8888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</si>
</sst>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微软雅黑"/>
      <charset val="134"/>
    </font>
    <font>
      <sz val="11"/>
      <name val="Arial"/>
      <charset val="134"/>
    </font>
    <font>
      <sz val="11"/>
      <name val="宋体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4"/>
  <sheetViews>
    <sheetView tabSelected="1" zoomScale="85" zoomScaleNormal="85" zoomScaleSheetLayoutView="70" workbookViewId="0">
      <selection activeCell="Q28" sqref="Q28"/>
    </sheetView>
  </sheetViews>
  <sheetFormatPr defaultColWidth="9" defaultRowHeight="30" customHeight="1"/>
  <cols>
    <col min="1" max="1" width="14.6333333333333" style="3" customWidth="1"/>
    <col min="2" max="2" width="21.025" style="3" customWidth="1"/>
    <col min="3" max="3" width="13.675" style="4" customWidth="1"/>
    <col min="4" max="4" width="14.1" style="3" customWidth="1"/>
    <col min="5" max="6" width="8.23333333333333" style="4" customWidth="1"/>
    <col min="7" max="7" width="8.23333333333333" style="5" customWidth="1"/>
    <col min="8" max="11" width="13.6666666666667" style="4" customWidth="1"/>
    <col min="12" max="12" width="12.7916666666667" style="4" customWidth="1"/>
    <col min="13" max="13" width="13.6666666666667" style="4" customWidth="1"/>
    <col min="14" max="14" width="27.0583333333333" style="4" customWidth="1"/>
    <col min="15" max="16384" width="9" style="4"/>
  </cols>
  <sheetData>
    <row r="1" ht="49" customHeight="1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49" customHeight="1" spans="1:1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="1" customFormat="1" ht="76" customHeight="1" spans="1:14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7" t="s">
        <v>8</v>
      </c>
      <c r="H3" s="7" t="s">
        <v>9</v>
      </c>
      <c r="I3" s="19" t="s">
        <v>10</v>
      </c>
      <c r="J3" s="7" t="s">
        <v>11</v>
      </c>
      <c r="K3" s="7" t="s">
        <v>12</v>
      </c>
      <c r="L3" s="7" t="s">
        <v>13</v>
      </c>
      <c r="M3" s="19" t="s">
        <v>14</v>
      </c>
      <c r="N3" s="7" t="s">
        <v>15</v>
      </c>
    </row>
    <row r="4" s="1" customFormat="1" ht="33" customHeight="1" spans="1:14">
      <c r="A4" s="9">
        <v>369725</v>
      </c>
      <c r="B4" s="7" t="s">
        <v>16</v>
      </c>
      <c r="C4" s="10" t="s">
        <v>17</v>
      </c>
      <c r="D4" s="11" t="s">
        <v>18</v>
      </c>
      <c r="E4" s="12">
        <v>2</v>
      </c>
      <c r="F4" s="8">
        <v>0</v>
      </c>
      <c r="G4" s="8">
        <f t="shared" ref="G4:G29" si="0">E4*F4</f>
        <v>0</v>
      </c>
      <c r="H4" s="13" t="s">
        <v>19</v>
      </c>
      <c r="I4" s="8">
        <v>1061</v>
      </c>
      <c r="J4" s="8" t="s">
        <v>20</v>
      </c>
      <c r="K4" s="8">
        <v>1072</v>
      </c>
      <c r="L4" s="13" t="s">
        <v>19</v>
      </c>
      <c r="M4" s="8">
        <v>4060</v>
      </c>
      <c r="N4" s="11" t="s">
        <v>21</v>
      </c>
    </row>
    <row r="5" s="1" customFormat="1" ht="33" customHeight="1" spans="1:14">
      <c r="A5" s="14"/>
      <c r="B5" s="7" t="s">
        <v>16</v>
      </c>
      <c r="C5" s="10" t="s">
        <v>22</v>
      </c>
      <c r="D5" s="11" t="s">
        <v>23</v>
      </c>
      <c r="E5" s="12">
        <v>5</v>
      </c>
      <c r="F5" s="8">
        <v>0</v>
      </c>
      <c r="G5" s="8">
        <f t="shared" si="0"/>
        <v>0</v>
      </c>
      <c r="H5" s="13" t="s">
        <v>19</v>
      </c>
      <c r="I5" s="8">
        <v>1061</v>
      </c>
      <c r="J5" s="8" t="s">
        <v>20</v>
      </c>
      <c r="K5" s="8">
        <v>1072</v>
      </c>
      <c r="L5" s="13" t="s">
        <v>19</v>
      </c>
      <c r="M5" s="8">
        <v>4060</v>
      </c>
      <c r="N5" s="11" t="s">
        <v>21</v>
      </c>
    </row>
    <row r="6" s="1" customFormat="1" ht="33" customHeight="1" spans="1:14">
      <c r="A6" s="14"/>
      <c r="B6" s="7" t="s">
        <v>16</v>
      </c>
      <c r="C6" s="10" t="s">
        <v>24</v>
      </c>
      <c r="D6" s="11" t="s">
        <v>25</v>
      </c>
      <c r="E6" s="12">
        <v>1</v>
      </c>
      <c r="F6" s="8">
        <v>0</v>
      </c>
      <c r="G6" s="8">
        <f t="shared" si="0"/>
        <v>0</v>
      </c>
      <c r="H6" s="13" t="s">
        <v>19</v>
      </c>
      <c r="I6" s="8">
        <v>1061</v>
      </c>
      <c r="J6" s="8" t="s">
        <v>20</v>
      </c>
      <c r="K6" s="8">
        <v>1072</v>
      </c>
      <c r="L6" s="13" t="s">
        <v>19</v>
      </c>
      <c r="M6" s="8">
        <v>4060</v>
      </c>
      <c r="N6" s="11" t="s">
        <v>21</v>
      </c>
    </row>
    <row r="7" s="1" customFormat="1" ht="33" customHeight="1" spans="1:14">
      <c r="A7" s="14"/>
      <c r="B7" s="7" t="s">
        <v>16</v>
      </c>
      <c r="C7" s="10" t="s">
        <v>26</v>
      </c>
      <c r="D7" s="11" t="s">
        <v>27</v>
      </c>
      <c r="E7" s="12">
        <v>6</v>
      </c>
      <c r="F7" s="8">
        <v>0</v>
      </c>
      <c r="G7" s="8">
        <f t="shared" si="0"/>
        <v>0</v>
      </c>
      <c r="H7" s="13" t="s">
        <v>19</v>
      </c>
      <c r="I7" s="8">
        <v>1061</v>
      </c>
      <c r="J7" s="8" t="s">
        <v>20</v>
      </c>
      <c r="K7" s="8">
        <v>1072</v>
      </c>
      <c r="L7" s="13" t="s">
        <v>19</v>
      </c>
      <c r="M7" s="8">
        <v>4060</v>
      </c>
      <c r="N7" s="11" t="s">
        <v>21</v>
      </c>
    </row>
    <row r="8" s="1" customFormat="1" ht="33" customHeight="1" spans="1:14">
      <c r="A8" s="14"/>
      <c r="B8" s="7" t="s">
        <v>16</v>
      </c>
      <c r="C8" s="10" t="s">
        <v>28</v>
      </c>
      <c r="D8" s="11" t="s">
        <v>29</v>
      </c>
      <c r="E8" s="12">
        <v>6</v>
      </c>
      <c r="F8" s="8">
        <v>0</v>
      </c>
      <c r="G8" s="8">
        <f t="shared" si="0"/>
        <v>0</v>
      </c>
      <c r="H8" s="13" t="s">
        <v>19</v>
      </c>
      <c r="I8" s="8">
        <v>1061</v>
      </c>
      <c r="J8" s="8" t="s">
        <v>20</v>
      </c>
      <c r="K8" s="8">
        <v>1072</v>
      </c>
      <c r="L8" s="13" t="s">
        <v>19</v>
      </c>
      <c r="M8" s="8">
        <v>4060</v>
      </c>
      <c r="N8" s="11" t="s">
        <v>21</v>
      </c>
    </row>
    <row r="9" s="1" customFormat="1" ht="33" customHeight="1" spans="1:14">
      <c r="A9" s="14"/>
      <c r="B9" s="7" t="s">
        <v>16</v>
      </c>
      <c r="C9" s="10" t="s">
        <v>30</v>
      </c>
      <c r="D9" s="11" t="s">
        <v>31</v>
      </c>
      <c r="E9" s="12">
        <v>1</v>
      </c>
      <c r="F9" s="8">
        <v>0</v>
      </c>
      <c r="G9" s="8">
        <f t="shared" si="0"/>
        <v>0</v>
      </c>
      <c r="H9" s="13" t="s">
        <v>19</v>
      </c>
      <c r="I9" s="8">
        <v>1061</v>
      </c>
      <c r="J9" s="8" t="s">
        <v>20</v>
      </c>
      <c r="K9" s="8">
        <v>1072</v>
      </c>
      <c r="L9" s="13" t="s">
        <v>19</v>
      </c>
      <c r="M9" s="8">
        <v>4060</v>
      </c>
      <c r="N9" s="11" t="s">
        <v>21</v>
      </c>
    </row>
    <row r="10" s="1" customFormat="1" ht="33" customHeight="1" spans="1:14">
      <c r="A10" s="15"/>
      <c r="B10" s="7" t="s">
        <v>16</v>
      </c>
      <c r="C10" s="10" t="s">
        <v>32</v>
      </c>
      <c r="D10" s="11" t="s">
        <v>33</v>
      </c>
      <c r="E10" s="12">
        <v>1</v>
      </c>
      <c r="F10" s="8">
        <v>0</v>
      </c>
      <c r="G10" s="8">
        <f t="shared" si="0"/>
        <v>0</v>
      </c>
      <c r="H10" s="13" t="s">
        <v>19</v>
      </c>
      <c r="I10" s="8">
        <v>1061</v>
      </c>
      <c r="J10" s="8" t="s">
        <v>20</v>
      </c>
      <c r="K10" s="8">
        <v>1072</v>
      </c>
      <c r="L10" s="13" t="s">
        <v>19</v>
      </c>
      <c r="M10" s="8">
        <v>4060</v>
      </c>
      <c r="N10" s="11" t="s">
        <v>21</v>
      </c>
    </row>
    <row r="11" s="1" customFormat="1" ht="33" customHeight="1" spans="1:14">
      <c r="A11" s="9">
        <v>371066</v>
      </c>
      <c r="B11" s="7" t="s">
        <v>16</v>
      </c>
      <c r="C11" s="10" t="s">
        <v>34</v>
      </c>
      <c r="D11" s="11" t="s">
        <v>35</v>
      </c>
      <c r="E11" s="12">
        <v>1</v>
      </c>
      <c r="F11" s="8">
        <v>0</v>
      </c>
      <c r="G11" s="8">
        <f t="shared" si="0"/>
        <v>0</v>
      </c>
      <c r="H11" s="13" t="s">
        <v>36</v>
      </c>
      <c r="I11" s="8">
        <v>1056</v>
      </c>
      <c r="J11" s="8" t="s">
        <v>20</v>
      </c>
      <c r="K11" s="8">
        <v>1072</v>
      </c>
      <c r="L11" s="13" t="s">
        <v>36</v>
      </c>
      <c r="M11" s="8">
        <v>4055</v>
      </c>
      <c r="N11" s="11" t="s">
        <v>37</v>
      </c>
    </row>
    <row r="12" s="1" customFormat="1" ht="33" customHeight="1" spans="1:14">
      <c r="A12" s="15"/>
      <c r="B12" s="7" t="s">
        <v>16</v>
      </c>
      <c r="C12" s="10" t="s">
        <v>38</v>
      </c>
      <c r="D12" s="11" t="s">
        <v>39</v>
      </c>
      <c r="E12" s="12">
        <v>1</v>
      </c>
      <c r="F12" s="8">
        <v>0</v>
      </c>
      <c r="G12" s="8">
        <f t="shared" si="0"/>
        <v>0</v>
      </c>
      <c r="H12" s="13" t="s">
        <v>36</v>
      </c>
      <c r="I12" s="8">
        <v>1056</v>
      </c>
      <c r="J12" s="8" t="s">
        <v>20</v>
      </c>
      <c r="K12" s="8">
        <v>1072</v>
      </c>
      <c r="L12" s="13" t="s">
        <v>36</v>
      </c>
      <c r="M12" s="8">
        <v>4055</v>
      </c>
      <c r="N12" s="11" t="s">
        <v>37</v>
      </c>
    </row>
    <row r="13" s="1" customFormat="1" ht="33" customHeight="1" spans="1:14">
      <c r="A13" s="16">
        <v>372869</v>
      </c>
      <c r="B13" s="7" t="s">
        <v>16</v>
      </c>
      <c r="C13" s="10" t="s">
        <v>40</v>
      </c>
      <c r="D13" s="11" t="s">
        <v>41</v>
      </c>
      <c r="E13" s="12">
        <v>1</v>
      </c>
      <c r="F13" s="8">
        <v>0</v>
      </c>
      <c r="G13" s="8">
        <f t="shared" si="0"/>
        <v>0</v>
      </c>
      <c r="H13" s="8" t="s">
        <v>42</v>
      </c>
      <c r="I13" s="8">
        <v>1163</v>
      </c>
      <c r="J13" s="8" t="s">
        <v>20</v>
      </c>
      <c r="K13" s="8">
        <v>1072</v>
      </c>
      <c r="L13" s="8" t="s">
        <v>42</v>
      </c>
      <c r="M13" s="8">
        <v>4158</v>
      </c>
      <c r="N13" s="11" t="s">
        <v>43</v>
      </c>
    </row>
    <row r="14" s="1" customFormat="1" ht="33" customHeight="1" spans="1:14">
      <c r="A14" s="9">
        <v>373086</v>
      </c>
      <c r="B14" s="7" t="s">
        <v>16</v>
      </c>
      <c r="C14" s="10" t="s">
        <v>44</v>
      </c>
      <c r="D14" s="11" t="s">
        <v>45</v>
      </c>
      <c r="E14" s="12">
        <v>10</v>
      </c>
      <c r="F14" s="8">
        <v>0</v>
      </c>
      <c r="G14" s="8">
        <f t="shared" si="0"/>
        <v>0</v>
      </c>
      <c r="H14" s="13" t="s">
        <v>46</v>
      </c>
      <c r="I14" s="8">
        <v>1036</v>
      </c>
      <c r="J14" s="8" t="s">
        <v>20</v>
      </c>
      <c r="K14" s="8">
        <v>1072</v>
      </c>
      <c r="L14" s="13" t="s">
        <v>46</v>
      </c>
      <c r="M14" s="8">
        <v>4035</v>
      </c>
      <c r="N14" s="11" t="s">
        <v>37</v>
      </c>
    </row>
    <row r="15" s="1" customFormat="1" ht="33" customHeight="1" spans="1:14">
      <c r="A15" s="15"/>
      <c r="B15" s="7" t="s">
        <v>16</v>
      </c>
      <c r="C15" s="10" t="s">
        <v>47</v>
      </c>
      <c r="D15" s="11" t="s">
        <v>48</v>
      </c>
      <c r="E15" s="12">
        <v>15</v>
      </c>
      <c r="F15" s="8">
        <v>0</v>
      </c>
      <c r="G15" s="8">
        <f t="shared" si="0"/>
        <v>0</v>
      </c>
      <c r="H15" s="13" t="s">
        <v>46</v>
      </c>
      <c r="I15" s="8">
        <v>1036</v>
      </c>
      <c r="J15" s="8" t="s">
        <v>20</v>
      </c>
      <c r="K15" s="8">
        <v>1072</v>
      </c>
      <c r="L15" s="13" t="s">
        <v>46</v>
      </c>
      <c r="M15" s="8">
        <v>4035</v>
      </c>
      <c r="N15" s="11" t="s">
        <v>37</v>
      </c>
    </row>
    <row r="16" s="1" customFormat="1" ht="33" customHeight="1" spans="1:14">
      <c r="A16" s="16">
        <v>373532</v>
      </c>
      <c r="B16" s="7" t="s">
        <v>16</v>
      </c>
      <c r="C16" s="10" t="s">
        <v>49</v>
      </c>
      <c r="D16" s="11" t="s">
        <v>50</v>
      </c>
      <c r="E16" s="12">
        <v>1</v>
      </c>
      <c r="F16" s="8">
        <v>0</v>
      </c>
      <c r="G16" s="8">
        <f t="shared" si="0"/>
        <v>0</v>
      </c>
      <c r="H16" s="8" t="s">
        <v>51</v>
      </c>
      <c r="I16" s="8">
        <v>1030</v>
      </c>
      <c r="J16" s="8" t="s">
        <v>20</v>
      </c>
      <c r="K16" s="8">
        <v>1072</v>
      </c>
      <c r="L16" s="8" t="s">
        <v>51</v>
      </c>
      <c r="M16" s="8">
        <v>4029</v>
      </c>
      <c r="N16" s="11" t="s">
        <v>37</v>
      </c>
    </row>
    <row r="17" s="1" customFormat="1" ht="33" customHeight="1" spans="1:14">
      <c r="A17" s="9">
        <v>373710</v>
      </c>
      <c r="B17" s="7" t="s">
        <v>16</v>
      </c>
      <c r="C17" s="10" t="s">
        <v>22</v>
      </c>
      <c r="D17" s="11" t="s">
        <v>23</v>
      </c>
      <c r="E17" s="12">
        <v>6</v>
      </c>
      <c r="F17" s="8">
        <v>0</v>
      </c>
      <c r="G17" s="8">
        <f t="shared" si="0"/>
        <v>0</v>
      </c>
      <c r="H17" s="13" t="s">
        <v>52</v>
      </c>
      <c r="I17" s="8">
        <v>1048</v>
      </c>
      <c r="J17" s="8" t="s">
        <v>20</v>
      </c>
      <c r="K17" s="8">
        <v>1072</v>
      </c>
      <c r="L17" s="13" t="s">
        <v>52</v>
      </c>
      <c r="M17" s="8">
        <v>4047</v>
      </c>
      <c r="N17" s="11" t="s">
        <v>37</v>
      </c>
    </row>
    <row r="18" s="1" customFormat="1" ht="33" customHeight="1" spans="1:14">
      <c r="A18" s="14"/>
      <c r="B18" s="7" t="s">
        <v>16</v>
      </c>
      <c r="C18" s="10" t="s">
        <v>26</v>
      </c>
      <c r="D18" s="11" t="s">
        <v>27</v>
      </c>
      <c r="E18" s="12">
        <v>1</v>
      </c>
      <c r="F18" s="8">
        <v>0</v>
      </c>
      <c r="G18" s="8">
        <f t="shared" si="0"/>
        <v>0</v>
      </c>
      <c r="H18" s="13" t="s">
        <v>52</v>
      </c>
      <c r="I18" s="8">
        <v>1048</v>
      </c>
      <c r="J18" s="8" t="s">
        <v>20</v>
      </c>
      <c r="K18" s="8">
        <v>1072</v>
      </c>
      <c r="L18" s="13" t="s">
        <v>52</v>
      </c>
      <c r="M18" s="8">
        <v>4047</v>
      </c>
      <c r="N18" s="11" t="s">
        <v>37</v>
      </c>
    </row>
    <row r="19" s="1" customFormat="1" ht="33" customHeight="1" spans="1:14">
      <c r="A19" s="15"/>
      <c r="B19" s="7" t="s">
        <v>16</v>
      </c>
      <c r="C19" s="10" t="s">
        <v>53</v>
      </c>
      <c r="D19" s="11" t="s">
        <v>54</v>
      </c>
      <c r="E19" s="12">
        <v>1</v>
      </c>
      <c r="F19" s="8">
        <v>0</v>
      </c>
      <c r="G19" s="8">
        <f t="shared" si="0"/>
        <v>0</v>
      </c>
      <c r="H19" s="13" t="s">
        <v>52</v>
      </c>
      <c r="I19" s="8">
        <v>1048</v>
      </c>
      <c r="J19" s="8" t="s">
        <v>20</v>
      </c>
      <c r="K19" s="8">
        <v>1072</v>
      </c>
      <c r="L19" s="13" t="s">
        <v>52</v>
      </c>
      <c r="M19" s="8">
        <v>4047</v>
      </c>
      <c r="N19" s="11" t="s">
        <v>37</v>
      </c>
    </row>
    <row r="20" s="1" customFormat="1" ht="33" customHeight="1" spans="1:14">
      <c r="A20" s="16">
        <v>373902</v>
      </c>
      <c r="B20" s="7" t="s">
        <v>16</v>
      </c>
      <c r="C20" s="10" t="s">
        <v>55</v>
      </c>
      <c r="D20" s="11" t="s">
        <v>56</v>
      </c>
      <c r="E20" s="12">
        <v>1</v>
      </c>
      <c r="F20" s="8">
        <v>0</v>
      </c>
      <c r="G20" s="8">
        <f t="shared" si="0"/>
        <v>0</v>
      </c>
      <c r="H20" s="8" t="s">
        <v>36</v>
      </c>
      <c r="I20" s="8">
        <v>1056</v>
      </c>
      <c r="J20" s="8" t="s">
        <v>20</v>
      </c>
      <c r="K20" s="8">
        <v>1072</v>
      </c>
      <c r="L20" s="8" t="s">
        <v>36</v>
      </c>
      <c r="M20" s="8">
        <v>4055</v>
      </c>
      <c r="N20" s="11" t="s">
        <v>37</v>
      </c>
    </row>
    <row r="21" s="1" customFormat="1" ht="33" customHeight="1" spans="1:14">
      <c r="A21" s="16">
        <v>374586</v>
      </c>
      <c r="B21" s="7" t="s">
        <v>16</v>
      </c>
      <c r="C21" s="10" t="s">
        <v>57</v>
      </c>
      <c r="D21" s="11" t="s">
        <v>58</v>
      </c>
      <c r="E21" s="12">
        <v>1</v>
      </c>
      <c r="F21" s="8">
        <v>0</v>
      </c>
      <c r="G21" s="8">
        <f t="shared" si="0"/>
        <v>0</v>
      </c>
      <c r="H21" s="8" t="s">
        <v>59</v>
      </c>
      <c r="I21" s="8">
        <v>1162</v>
      </c>
      <c r="J21" s="8" t="s">
        <v>20</v>
      </c>
      <c r="K21" s="8">
        <v>1072</v>
      </c>
      <c r="L21" s="8" t="s">
        <v>59</v>
      </c>
      <c r="M21" s="8">
        <v>4157</v>
      </c>
      <c r="N21" s="11" t="s">
        <v>37</v>
      </c>
    </row>
    <row r="22" s="1" customFormat="1" ht="33" customHeight="1" spans="1:14">
      <c r="A22" s="16">
        <v>374838</v>
      </c>
      <c r="B22" s="7" t="s">
        <v>16</v>
      </c>
      <c r="C22" s="10" t="s">
        <v>57</v>
      </c>
      <c r="D22" s="11" t="s">
        <v>58</v>
      </c>
      <c r="E22" s="12">
        <v>2</v>
      </c>
      <c r="F22" s="8">
        <v>0</v>
      </c>
      <c r="G22" s="8">
        <f t="shared" si="0"/>
        <v>0</v>
      </c>
      <c r="H22" s="8" t="s">
        <v>60</v>
      </c>
      <c r="I22" s="8">
        <v>1046</v>
      </c>
      <c r="J22" s="8" t="s">
        <v>20</v>
      </c>
      <c r="K22" s="8">
        <v>1072</v>
      </c>
      <c r="L22" s="8" t="s">
        <v>60</v>
      </c>
      <c r="M22" s="8">
        <v>4045</v>
      </c>
      <c r="N22" s="11" t="s">
        <v>37</v>
      </c>
    </row>
    <row r="23" s="1" customFormat="1" ht="33" customHeight="1" spans="1:14">
      <c r="A23" s="9">
        <v>375010</v>
      </c>
      <c r="B23" s="7" t="s">
        <v>16</v>
      </c>
      <c r="C23" s="10" t="s">
        <v>57</v>
      </c>
      <c r="D23" s="11" t="s">
        <v>58</v>
      </c>
      <c r="E23" s="12">
        <v>1</v>
      </c>
      <c r="F23" s="8">
        <v>0</v>
      </c>
      <c r="G23" s="8">
        <f t="shared" si="0"/>
        <v>0</v>
      </c>
      <c r="H23" s="13" t="s">
        <v>61</v>
      </c>
      <c r="I23" s="8">
        <v>1216</v>
      </c>
      <c r="J23" s="8" t="s">
        <v>20</v>
      </c>
      <c r="K23" s="8">
        <v>1072</v>
      </c>
      <c r="L23" s="13" t="s">
        <v>61</v>
      </c>
      <c r="M23" s="8">
        <v>4204</v>
      </c>
      <c r="N23" s="11" t="s">
        <v>62</v>
      </c>
    </row>
    <row r="24" s="1" customFormat="1" ht="33" customHeight="1" spans="1:14">
      <c r="A24" s="15"/>
      <c r="B24" s="7" t="s">
        <v>16</v>
      </c>
      <c r="C24" s="10" t="s">
        <v>63</v>
      </c>
      <c r="D24" s="11" t="s">
        <v>64</v>
      </c>
      <c r="E24" s="12">
        <v>1</v>
      </c>
      <c r="F24" s="8">
        <v>0</v>
      </c>
      <c r="G24" s="8">
        <f t="shared" si="0"/>
        <v>0</v>
      </c>
      <c r="H24" s="13" t="s">
        <v>61</v>
      </c>
      <c r="I24" s="8">
        <v>1216</v>
      </c>
      <c r="J24" s="8" t="s">
        <v>20</v>
      </c>
      <c r="K24" s="8">
        <v>1072</v>
      </c>
      <c r="L24" s="13" t="s">
        <v>61</v>
      </c>
      <c r="M24" s="8">
        <v>4204</v>
      </c>
      <c r="N24" s="11" t="s">
        <v>62</v>
      </c>
    </row>
    <row r="25" s="1" customFormat="1" ht="33" customHeight="1" spans="1:14">
      <c r="A25" s="16">
        <v>375835</v>
      </c>
      <c r="B25" s="7" t="s">
        <v>16</v>
      </c>
      <c r="C25" s="10" t="s">
        <v>65</v>
      </c>
      <c r="D25" s="11" t="s">
        <v>66</v>
      </c>
      <c r="E25" s="12">
        <v>1</v>
      </c>
      <c r="F25" s="8">
        <v>0</v>
      </c>
      <c r="G25" s="8">
        <f>E25*F25</f>
        <v>0</v>
      </c>
      <c r="H25" s="8" t="s">
        <v>67</v>
      </c>
      <c r="I25" s="8">
        <v>1058</v>
      </c>
      <c r="J25" s="8" t="s">
        <v>20</v>
      </c>
      <c r="K25" s="8">
        <v>1072</v>
      </c>
      <c r="L25" s="8" t="s">
        <v>67</v>
      </c>
      <c r="M25" s="8">
        <v>4057</v>
      </c>
      <c r="N25" s="11" t="s">
        <v>37</v>
      </c>
    </row>
    <row r="26" s="1" customFormat="1" ht="33" customHeight="1" spans="1:14">
      <c r="A26" s="9">
        <v>375999</v>
      </c>
      <c r="B26" s="7" t="s">
        <v>16</v>
      </c>
      <c r="C26" s="10" t="s">
        <v>68</v>
      </c>
      <c r="D26" s="11" t="s">
        <v>69</v>
      </c>
      <c r="E26" s="12">
        <v>1</v>
      </c>
      <c r="F26" s="8">
        <v>0</v>
      </c>
      <c r="G26" s="8">
        <f>E26*F26</f>
        <v>0</v>
      </c>
      <c r="H26" s="13" t="s">
        <v>70</v>
      </c>
      <c r="I26" s="8">
        <v>1054</v>
      </c>
      <c r="J26" s="8" t="s">
        <v>20</v>
      </c>
      <c r="K26" s="8">
        <v>1072</v>
      </c>
      <c r="L26" s="13" t="s">
        <v>70</v>
      </c>
      <c r="M26" s="8">
        <v>4053</v>
      </c>
      <c r="N26" s="11" t="s">
        <v>37</v>
      </c>
    </row>
    <row r="27" s="1" customFormat="1" ht="33" customHeight="1" spans="1:14">
      <c r="A27" s="15"/>
      <c r="B27" s="7" t="s">
        <v>16</v>
      </c>
      <c r="C27" s="10" t="s">
        <v>71</v>
      </c>
      <c r="D27" s="11" t="s">
        <v>72</v>
      </c>
      <c r="E27" s="12">
        <v>1</v>
      </c>
      <c r="F27" s="8">
        <v>0</v>
      </c>
      <c r="G27" s="8">
        <f t="shared" ref="G27:G45" si="1">E27*F27</f>
        <v>0</v>
      </c>
      <c r="H27" s="13" t="s">
        <v>70</v>
      </c>
      <c r="I27" s="8">
        <v>1054</v>
      </c>
      <c r="J27" s="8" t="s">
        <v>20</v>
      </c>
      <c r="K27" s="8">
        <v>1072</v>
      </c>
      <c r="L27" s="13" t="s">
        <v>70</v>
      </c>
      <c r="M27" s="8">
        <v>4053</v>
      </c>
      <c r="N27" s="11" t="s">
        <v>37</v>
      </c>
    </row>
    <row r="28" s="1" customFormat="1" ht="33" customHeight="1" spans="1:14">
      <c r="A28" s="16">
        <v>376294</v>
      </c>
      <c r="B28" s="7" t="s">
        <v>16</v>
      </c>
      <c r="C28" s="10" t="s">
        <v>73</v>
      </c>
      <c r="D28" s="11" t="s">
        <v>74</v>
      </c>
      <c r="E28" s="12">
        <v>2</v>
      </c>
      <c r="F28" s="8">
        <v>0</v>
      </c>
      <c r="G28" s="8">
        <f t="shared" si="1"/>
        <v>0</v>
      </c>
      <c r="H28" s="8" t="s">
        <v>75</v>
      </c>
      <c r="I28" s="8">
        <v>1187</v>
      </c>
      <c r="J28" s="8" t="s">
        <v>20</v>
      </c>
      <c r="K28" s="8">
        <v>1072</v>
      </c>
      <c r="L28" s="8" t="s">
        <v>75</v>
      </c>
      <c r="M28" s="8">
        <v>4182</v>
      </c>
      <c r="N28" s="11" t="s">
        <v>37</v>
      </c>
    </row>
    <row r="29" s="1" customFormat="1" ht="33" customHeight="1" spans="1:14">
      <c r="A29" s="16">
        <v>376333</v>
      </c>
      <c r="B29" s="7" t="s">
        <v>16</v>
      </c>
      <c r="C29" s="10" t="s">
        <v>76</v>
      </c>
      <c r="D29" s="11" t="s">
        <v>77</v>
      </c>
      <c r="E29" s="12">
        <v>1</v>
      </c>
      <c r="F29" s="8">
        <v>0</v>
      </c>
      <c r="G29" s="8">
        <f t="shared" si="1"/>
        <v>0</v>
      </c>
      <c r="H29" s="8" t="s">
        <v>78</v>
      </c>
      <c r="I29" s="8">
        <v>1133</v>
      </c>
      <c r="J29" s="8" t="s">
        <v>20</v>
      </c>
      <c r="K29" s="8">
        <v>1072</v>
      </c>
      <c r="L29" s="8" t="s">
        <v>78</v>
      </c>
      <c r="M29" s="8">
        <v>4128</v>
      </c>
      <c r="N29" s="11" t="s">
        <v>37</v>
      </c>
    </row>
    <row r="30" s="1" customFormat="1" ht="33" customHeight="1" spans="1:14">
      <c r="A30" s="16">
        <v>376521</v>
      </c>
      <c r="B30" s="7" t="s">
        <v>16</v>
      </c>
      <c r="C30" s="10" t="s">
        <v>40</v>
      </c>
      <c r="D30" s="11" t="s">
        <v>41</v>
      </c>
      <c r="E30" s="12">
        <v>1</v>
      </c>
      <c r="F30" s="8">
        <v>0</v>
      </c>
      <c r="G30" s="8">
        <f t="shared" si="1"/>
        <v>0</v>
      </c>
      <c r="H30" s="8" t="s">
        <v>79</v>
      </c>
      <c r="I30" s="8">
        <v>1044</v>
      </c>
      <c r="J30" s="8" t="s">
        <v>20</v>
      </c>
      <c r="K30" s="8">
        <v>1072</v>
      </c>
      <c r="L30" s="8" t="s">
        <v>79</v>
      </c>
      <c r="M30" s="8">
        <v>4043</v>
      </c>
      <c r="N30" s="11" t="s">
        <v>80</v>
      </c>
    </row>
    <row r="31" s="1" customFormat="1" ht="33" customHeight="1" spans="1:14">
      <c r="A31" s="9">
        <v>376624</v>
      </c>
      <c r="B31" s="7" t="s">
        <v>16</v>
      </c>
      <c r="C31" s="10" t="s">
        <v>81</v>
      </c>
      <c r="D31" s="11" t="s">
        <v>82</v>
      </c>
      <c r="E31" s="12">
        <v>1</v>
      </c>
      <c r="F31" s="8">
        <v>0</v>
      </c>
      <c r="G31" s="8">
        <f t="shared" si="1"/>
        <v>0</v>
      </c>
      <c r="H31" s="13" t="s">
        <v>78</v>
      </c>
      <c r="I31" s="8">
        <v>1133</v>
      </c>
      <c r="J31" s="8" t="s">
        <v>20</v>
      </c>
      <c r="K31" s="8">
        <v>1072</v>
      </c>
      <c r="L31" s="13" t="s">
        <v>78</v>
      </c>
      <c r="M31" s="8">
        <v>4128</v>
      </c>
      <c r="N31" s="11" t="s">
        <v>83</v>
      </c>
    </row>
    <row r="32" s="1" customFormat="1" ht="33" customHeight="1" spans="1:14">
      <c r="A32" s="14"/>
      <c r="B32" s="7" t="s">
        <v>16</v>
      </c>
      <c r="C32" s="10" t="s">
        <v>30</v>
      </c>
      <c r="D32" s="11" t="s">
        <v>31</v>
      </c>
      <c r="E32" s="12">
        <v>1</v>
      </c>
      <c r="F32" s="8">
        <v>0</v>
      </c>
      <c r="G32" s="8">
        <f t="shared" si="1"/>
        <v>0</v>
      </c>
      <c r="H32" s="13" t="s">
        <v>78</v>
      </c>
      <c r="I32" s="8">
        <v>1133</v>
      </c>
      <c r="J32" s="8" t="s">
        <v>20</v>
      </c>
      <c r="K32" s="8">
        <v>1072</v>
      </c>
      <c r="L32" s="13" t="s">
        <v>78</v>
      </c>
      <c r="M32" s="8">
        <v>4128</v>
      </c>
      <c r="N32" s="11" t="s">
        <v>83</v>
      </c>
    </row>
    <row r="33" s="1" customFormat="1" ht="33" customHeight="1" spans="1:14">
      <c r="A33" s="15"/>
      <c r="B33" s="7" t="s">
        <v>16</v>
      </c>
      <c r="C33" s="10" t="s">
        <v>84</v>
      </c>
      <c r="D33" s="11" t="s">
        <v>85</v>
      </c>
      <c r="E33" s="12">
        <v>1</v>
      </c>
      <c r="F33" s="8">
        <v>0</v>
      </c>
      <c r="G33" s="8">
        <f t="shared" si="1"/>
        <v>0</v>
      </c>
      <c r="H33" s="13" t="s">
        <v>78</v>
      </c>
      <c r="I33" s="8">
        <v>1133</v>
      </c>
      <c r="J33" s="8" t="s">
        <v>20</v>
      </c>
      <c r="K33" s="8">
        <v>1072</v>
      </c>
      <c r="L33" s="13" t="s">
        <v>78</v>
      </c>
      <c r="M33" s="8">
        <v>4128</v>
      </c>
      <c r="N33" s="11" t="s">
        <v>83</v>
      </c>
    </row>
    <row r="34" s="1" customFormat="1" ht="33" customHeight="1" spans="1:14">
      <c r="A34" s="16">
        <v>376690</v>
      </c>
      <c r="B34" s="7" t="s">
        <v>16</v>
      </c>
      <c r="C34" s="10" t="s">
        <v>86</v>
      </c>
      <c r="D34" s="11" t="s">
        <v>87</v>
      </c>
      <c r="E34" s="12">
        <v>1</v>
      </c>
      <c r="F34" s="8">
        <v>0</v>
      </c>
      <c r="G34" s="8">
        <f t="shared" si="1"/>
        <v>0</v>
      </c>
      <c r="H34" s="8" t="s">
        <v>88</v>
      </c>
      <c r="I34" s="8">
        <v>1109</v>
      </c>
      <c r="J34" s="8" t="s">
        <v>20</v>
      </c>
      <c r="K34" s="8">
        <v>1072</v>
      </c>
      <c r="L34" s="8" t="s">
        <v>88</v>
      </c>
      <c r="M34" s="8">
        <v>4116</v>
      </c>
      <c r="N34" s="11" t="s">
        <v>37</v>
      </c>
    </row>
    <row r="35" s="1" customFormat="1" ht="33" customHeight="1" spans="1:14">
      <c r="A35" s="9">
        <v>376907</v>
      </c>
      <c r="B35" s="7" t="s">
        <v>16</v>
      </c>
      <c r="C35" s="10" t="s">
        <v>49</v>
      </c>
      <c r="D35" s="11" t="s">
        <v>50</v>
      </c>
      <c r="E35" s="12">
        <v>1</v>
      </c>
      <c r="F35" s="8">
        <v>0</v>
      </c>
      <c r="G35" s="8">
        <f t="shared" si="1"/>
        <v>0</v>
      </c>
      <c r="H35" s="13" t="s">
        <v>89</v>
      </c>
      <c r="I35" s="8">
        <v>1040</v>
      </c>
      <c r="J35" s="8" t="s">
        <v>20</v>
      </c>
      <c r="K35" s="8">
        <v>1072</v>
      </c>
      <c r="L35" s="13" t="s">
        <v>89</v>
      </c>
      <c r="M35" s="8">
        <v>4039</v>
      </c>
      <c r="N35" s="11" t="s">
        <v>37</v>
      </c>
    </row>
    <row r="36" s="1" customFormat="1" ht="33" customHeight="1" spans="1:14">
      <c r="A36" s="15"/>
      <c r="B36" s="7" t="s">
        <v>16</v>
      </c>
      <c r="C36" s="10" t="s">
        <v>90</v>
      </c>
      <c r="D36" s="11" t="s">
        <v>91</v>
      </c>
      <c r="E36" s="12">
        <v>1</v>
      </c>
      <c r="F36" s="8">
        <v>0</v>
      </c>
      <c r="G36" s="8">
        <f t="shared" si="1"/>
        <v>0</v>
      </c>
      <c r="H36" s="13" t="s">
        <v>89</v>
      </c>
      <c r="I36" s="8">
        <v>1040</v>
      </c>
      <c r="J36" s="8" t="s">
        <v>20</v>
      </c>
      <c r="K36" s="8">
        <v>1072</v>
      </c>
      <c r="L36" s="13" t="s">
        <v>89</v>
      </c>
      <c r="M36" s="8">
        <v>4039</v>
      </c>
      <c r="N36" s="11" t="s">
        <v>37</v>
      </c>
    </row>
    <row r="37" s="1" customFormat="1" ht="33" customHeight="1" spans="1:14">
      <c r="A37" s="16">
        <v>376922</v>
      </c>
      <c r="B37" s="7" t="s">
        <v>16</v>
      </c>
      <c r="C37" s="10" t="s">
        <v>92</v>
      </c>
      <c r="D37" s="11" t="s">
        <v>93</v>
      </c>
      <c r="E37" s="12">
        <v>1</v>
      </c>
      <c r="F37" s="8">
        <v>0</v>
      </c>
      <c r="G37" s="8">
        <f t="shared" si="1"/>
        <v>0</v>
      </c>
      <c r="H37" s="8" t="s">
        <v>94</v>
      </c>
      <c r="I37" s="8">
        <v>1038</v>
      </c>
      <c r="J37" s="8" t="s">
        <v>20</v>
      </c>
      <c r="K37" s="8">
        <v>1072</v>
      </c>
      <c r="L37" s="8" t="s">
        <v>94</v>
      </c>
      <c r="M37" s="8">
        <v>4037</v>
      </c>
      <c r="N37" s="11" t="s">
        <v>37</v>
      </c>
    </row>
    <row r="38" s="1" customFormat="1" ht="33" customHeight="1" spans="1:14">
      <c r="A38" s="16">
        <v>376935</v>
      </c>
      <c r="B38" s="7" t="s">
        <v>16</v>
      </c>
      <c r="C38" s="10" t="s">
        <v>95</v>
      </c>
      <c r="D38" s="11" t="s">
        <v>96</v>
      </c>
      <c r="E38" s="12">
        <v>1</v>
      </c>
      <c r="F38" s="8">
        <v>0</v>
      </c>
      <c r="G38" s="8">
        <f t="shared" si="1"/>
        <v>0</v>
      </c>
      <c r="H38" s="8" t="s">
        <v>97</v>
      </c>
      <c r="I38" s="8">
        <v>1164</v>
      </c>
      <c r="J38" s="8" t="s">
        <v>20</v>
      </c>
      <c r="K38" s="8">
        <v>1072</v>
      </c>
      <c r="L38" s="8" t="s">
        <v>97</v>
      </c>
      <c r="M38" s="8">
        <v>4159</v>
      </c>
      <c r="N38" s="11" t="s">
        <v>37</v>
      </c>
    </row>
    <row r="39" s="1" customFormat="1" ht="33" customHeight="1" spans="1:14">
      <c r="A39" s="16">
        <v>377094</v>
      </c>
      <c r="B39" s="7" t="s">
        <v>16</v>
      </c>
      <c r="C39" s="10" t="s">
        <v>98</v>
      </c>
      <c r="D39" s="11" t="s">
        <v>99</v>
      </c>
      <c r="E39" s="12">
        <v>2</v>
      </c>
      <c r="F39" s="8">
        <v>0</v>
      </c>
      <c r="G39" s="8">
        <f t="shared" si="1"/>
        <v>0</v>
      </c>
      <c r="H39" s="8" t="s">
        <v>100</v>
      </c>
      <c r="I39" s="8">
        <v>1156</v>
      </c>
      <c r="J39" s="8" t="s">
        <v>20</v>
      </c>
      <c r="K39" s="8">
        <v>1072</v>
      </c>
      <c r="L39" s="8" t="s">
        <v>100</v>
      </c>
      <c r="M39" s="8">
        <v>4151</v>
      </c>
      <c r="N39" s="11" t="s">
        <v>101</v>
      </c>
    </row>
    <row r="40" s="1" customFormat="1" ht="33" customHeight="1" spans="1:14">
      <c r="A40" s="9">
        <v>377190</v>
      </c>
      <c r="B40" s="7" t="s">
        <v>16</v>
      </c>
      <c r="C40" s="10" t="s">
        <v>102</v>
      </c>
      <c r="D40" s="11" t="s">
        <v>103</v>
      </c>
      <c r="E40" s="12">
        <v>1</v>
      </c>
      <c r="F40" s="8">
        <v>0</v>
      </c>
      <c r="G40" s="8">
        <f t="shared" si="1"/>
        <v>0</v>
      </c>
      <c r="H40" s="13" t="s">
        <v>104</v>
      </c>
      <c r="I40" s="8">
        <v>1034</v>
      </c>
      <c r="J40" s="8" t="s">
        <v>20</v>
      </c>
      <c r="K40" s="8">
        <v>1072</v>
      </c>
      <c r="L40" s="13" t="s">
        <v>104</v>
      </c>
      <c r="M40" s="8">
        <v>4033</v>
      </c>
      <c r="N40" s="11" t="s">
        <v>105</v>
      </c>
    </row>
    <row r="41" s="1" customFormat="1" ht="33" customHeight="1" spans="1:14">
      <c r="A41" s="14"/>
      <c r="B41" s="7" t="s">
        <v>16</v>
      </c>
      <c r="C41" s="10" t="s">
        <v>106</v>
      </c>
      <c r="D41" s="11" t="s">
        <v>107</v>
      </c>
      <c r="E41" s="12">
        <v>1</v>
      </c>
      <c r="F41" s="8">
        <v>0</v>
      </c>
      <c r="G41" s="8">
        <f t="shared" si="1"/>
        <v>0</v>
      </c>
      <c r="H41" s="13" t="s">
        <v>104</v>
      </c>
      <c r="I41" s="8">
        <v>1034</v>
      </c>
      <c r="J41" s="8" t="s">
        <v>20</v>
      </c>
      <c r="K41" s="8">
        <v>1072</v>
      </c>
      <c r="L41" s="13" t="s">
        <v>104</v>
      </c>
      <c r="M41" s="8">
        <v>4033</v>
      </c>
      <c r="N41" s="11" t="s">
        <v>105</v>
      </c>
    </row>
    <row r="42" s="1" customFormat="1" ht="33" customHeight="1" spans="1:14">
      <c r="A42" s="14"/>
      <c r="B42" s="7" t="s">
        <v>16</v>
      </c>
      <c r="C42" s="10" t="s">
        <v>17</v>
      </c>
      <c r="D42" s="11" t="s">
        <v>18</v>
      </c>
      <c r="E42" s="12">
        <v>2</v>
      </c>
      <c r="F42" s="8">
        <v>0</v>
      </c>
      <c r="G42" s="8">
        <f t="shared" si="1"/>
        <v>0</v>
      </c>
      <c r="H42" s="13" t="s">
        <v>104</v>
      </c>
      <c r="I42" s="8">
        <v>1034</v>
      </c>
      <c r="J42" s="8" t="s">
        <v>20</v>
      </c>
      <c r="K42" s="8">
        <v>1072</v>
      </c>
      <c r="L42" s="13" t="s">
        <v>104</v>
      </c>
      <c r="M42" s="8">
        <v>4033</v>
      </c>
      <c r="N42" s="11" t="s">
        <v>105</v>
      </c>
    </row>
    <row r="43" s="1" customFormat="1" ht="33" customHeight="1" spans="1:14">
      <c r="A43" s="15"/>
      <c r="B43" s="7" t="s">
        <v>16</v>
      </c>
      <c r="C43" s="10" t="s">
        <v>108</v>
      </c>
      <c r="D43" s="11" t="s">
        <v>109</v>
      </c>
      <c r="E43" s="12">
        <v>1</v>
      </c>
      <c r="F43" s="8">
        <v>0</v>
      </c>
      <c r="G43" s="8">
        <f t="shared" si="1"/>
        <v>0</v>
      </c>
      <c r="H43" s="13" t="s">
        <v>104</v>
      </c>
      <c r="I43" s="8">
        <v>1034</v>
      </c>
      <c r="J43" s="8" t="s">
        <v>20</v>
      </c>
      <c r="K43" s="8">
        <v>1072</v>
      </c>
      <c r="L43" s="13" t="s">
        <v>104</v>
      </c>
      <c r="M43" s="8">
        <v>4033</v>
      </c>
      <c r="N43" s="11" t="s">
        <v>105</v>
      </c>
    </row>
    <row r="44" s="1" customFormat="1" ht="33" customHeight="1" spans="1:14">
      <c r="A44" s="16">
        <v>377192</v>
      </c>
      <c r="B44" s="7" t="s">
        <v>16</v>
      </c>
      <c r="C44" s="10" t="s">
        <v>110</v>
      </c>
      <c r="D44" s="11" t="s">
        <v>111</v>
      </c>
      <c r="E44" s="12">
        <v>1</v>
      </c>
      <c r="F44" s="8">
        <v>0</v>
      </c>
      <c r="G44" s="8">
        <f t="shared" si="1"/>
        <v>0</v>
      </c>
      <c r="H44" s="8" t="s">
        <v>112</v>
      </c>
      <c r="I44" s="8">
        <v>1219</v>
      </c>
      <c r="J44" s="8" t="s">
        <v>20</v>
      </c>
      <c r="K44" s="8">
        <v>1072</v>
      </c>
      <c r="L44" s="8" t="s">
        <v>112</v>
      </c>
      <c r="M44" s="8">
        <v>4207</v>
      </c>
      <c r="N44" s="11" t="s">
        <v>37</v>
      </c>
    </row>
    <row r="45" s="1" customFormat="1" ht="33" customHeight="1" spans="1:14">
      <c r="A45" s="16">
        <v>377256</v>
      </c>
      <c r="B45" s="7" t="s">
        <v>16</v>
      </c>
      <c r="C45" s="10" t="s">
        <v>113</v>
      </c>
      <c r="D45" s="11" t="s">
        <v>114</v>
      </c>
      <c r="E45" s="12">
        <v>1</v>
      </c>
      <c r="F45" s="8">
        <v>0</v>
      </c>
      <c r="G45" s="8">
        <f t="shared" si="1"/>
        <v>0</v>
      </c>
      <c r="H45" s="8" t="s">
        <v>46</v>
      </c>
      <c r="I45" s="8">
        <v>1036</v>
      </c>
      <c r="J45" s="8" t="s">
        <v>20</v>
      </c>
      <c r="K45" s="8">
        <v>1072</v>
      </c>
      <c r="L45" s="8" t="s">
        <v>46</v>
      </c>
      <c r="M45" s="8">
        <v>4035</v>
      </c>
      <c r="N45" s="11" t="s">
        <v>37</v>
      </c>
    </row>
    <row r="46" s="1" customFormat="1" ht="33" customHeight="1" spans="1:14">
      <c r="A46" s="16">
        <v>377292</v>
      </c>
      <c r="B46" s="7" t="s">
        <v>16</v>
      </c>
      <c r="C46" s="10" t="s">
        <v>86</v>
      </c>
      <c r="D46" s="11" t="s">
        <v>87</v>
      </c>
      <c r="E46" s="12">
        <v>1</v>
      </c>
      <c r="F46" s="8">
        <v>0</v>
      </c>
      <c r="G46" s="8">
        <f>E46*F46</f>
        <v>0</v>
      </c>
      <c r="H46" s="8" t="s">
        <v>88</v>
      </c>
      <c r="I46" s="8">
        <v>1109</v>
      </c>
      <c r="J46" s="8" t="s">
        <v>20</v>
      </c>
      <c r="K46" s="8">
        <v>1072</v>
      </c>
      <c r="L46" s="8" t="s">
        <v>88</v>
      </c>
      <c r="M46" s="8">
        <v>4116</v>
      </c>
      <c r="N46" s="11" t="s">
        <v>37</v>
      </c>
    </row>
    <row r="47" s="1" customFormat="1" ht="33" customHeight="1" spans="1:14">
      <c r="A47" s="16">
        <v>377333</v>
      </c>
      <c r="B47" s="7" t="s">
        <v>16</v>
      </c>
      <c r="C47" s="10" t="s">
        <v>115</v>
      </c>
      <c r="D47" s="11" t="s">
        <v>116</v>
      </c>
      <c r="E47" s="12">
        <v>1</v>
      </c>
      <c r="F47" s="8">
        <v>0</v>
      </c>
      <c r="G47" s="8">
        <f>E47*F47</f>
        <v>0</v>
      </c>
      <c r="H47" s="8" t="s">
        <v>97</v>
      </c>
      <c r="I47" s="8">
        <v>1164</v>
      </c>
      <c r="J47" s="8" t="s">
        <v>20</v>
      </c>
      <c r="K47" s="8">
        <v>1072</v>
      </c>
      <c r="L47" s="8" t="s">
        <v>97</v>
      </c>
      <c r="M47" s="8">
        <v>4159</v>
      </c>
      <c r="N47" s="11" t="s">
        <v>37</v>
      </c>
    </row>
    <row r="48" s="1" customFormat="1" ht="33" customHeight="1" spans="1:14">
      <c r="A48" s="16">
        <v>377391</v>
      </c>
      <c r="B48" s="7" t="s">
        <v>16</v>
      </c>
      <c r="C48" s="10" t="s">
        <v>117</v>
      </c>
      <c r="D48" s="11" t="s">
        <v>118</v>
      </c>
      <c r="E48" s="12">
        <v>1</v>
      </c>
      <c r="F48" s="8">
        <v>0</v>
      </c>
      <c r="G48" s="8">
        <f>E48*F48</f>
        <v>0</v>
      </c>
      <c r="H48" s="8" t="s">
        <v>119</v>
      </c>
      <c r="I48" s="8">
        <v>1032</v>
      </c>
      <c r="J48" s="8" t="s">
        <v>20</v>
      </c>
      <c r="K48" s="8">
        <v>1072</v>
      </c>
      <c r="L48" s="8" t="s">
        <v>119</v>
      </c>
      <c r="M48" s="8">
        <v>4031</v>
      </c>
      <c r="N48" s="11" t="s">
        <v>120</v>
      </c>
    </row>
    <row r="49" s="1" customFormat="1" ht="33" customHeight="1" spans="1:14">
      <c r="A49" s="16">
        <v>377423</v>
      </c>
      <c r="B49" s="7" t="s">
        <v>16</v>
      </c>
      <c r="C49" s="10" t="s">
        <v>40</v>
      </c>
      <c r="D49" s="11" t="s">
        <v>41</v>
      </c>
      <c r="E49" s="12">
        <v>1</v>
      </c>
      <c r="F49" s="8">
        <v>0</v>
      </c>
      <c r="G49" s="8">
        <f>E49*F49</f>
        <v>0</v>
      </c>
      <c r="H49" s="8" t="s">
        <v>121</v>
      </c>
      <c r="I49" s="8">
        <v>1042</v>
      </c>
      <c r="J49" s="8" t="s">
        <v>20</v>
      </c>
      <c r="K49" s="8">
        <v>1072</v>
      </c>
      <c r="L49" s="8" t="s">
        <v>121</v>
      </c>
      <c r="M49" s="8">
        <v>4041</v>
      </c>
      <c r="N49" s="11" t="s">
        <v>37</v>
      </c>
    </row>
    <row r="50" s="1" customFormat="1" ht="33" customHeight="1" spans="1:14">
      <c r="A50" s="16">
        <v>377502</v>
      </c>
      <c r="B50" s="7" t="s">
        <v>16</v>
      </c>
      <c r="C50" s="10" t="s">
        <v>122</v>
      </c>
      <c r="D50" s="11" t="s">
        <v>123</v>
      </c>
      <c r="E50" s="12">
        <v>1</v>
      </c>
      <c r="F50" s="8">
        <v>0</v>
      </c>
      <c r="G50" s="8">
        <f>E50*F50</f>
        <v>0</v>
      </c>
      <c r="H50" s="8" t="s">
        <v>124</v>
      </c>
      <c r="I50" s="8">
        <v>1057</v>
      </c>
      <c r="J50" s="8" t="s">
        <v>20</v>
      </c>
      <c r="K50" s="8">
        <v>1072</v>
      </c>
      <c r="L50" s="8" t="s">
        <v>124</v>
      </c>
      <c r="M50" s="8">
        <v>4056</v>
      </c>
      <c r="N50" s="11" t="s">
        <v>105</v>
      </c>
    </row>
    <row r="51" s="1" customFormat="1" ht="33" customHeight="1" spans="1:14">
      <c r="A51" s="17"/>
      <c r="B51" s="7"/>
      <c r="C51" s="10"/>
      <c r="D51" s="11"/>
      <c r="E51" s="12"/>
      <c r="F51" s="8"/>
      <c r="G51" s="8"/>
      <c r="H51" s="8"/>
      <c r="I51" s="8"/>
      <c r="J51" s="8"/>
      <c r="K51" s="8"/>
      <c r="L51" s="8"/>
      <c r="M51" s="8"/>
      <c r="N51" s="11"/>
    </row>
    <row r="52" s="2" customFormat="1" ht="51" customHeight="1" spans="1:14">
      <c r="A52" s="7"/>
      <c r="B52" s="7"/>
      <c r="C52" s="7" t="s">
        <v>125</v>
      </c>
      <c r="D52" s="18" t="s">
        <v>126</v>
      </c>
      <c r="E52" s="18"/>
      <c r="F52" s="18"/>
      <c r="G52" s="18"/>
      <c r="H52" s="18"/>
      <c r="I52" s="18"/>
      <c r="J52" s="18"/>
      <c r="K52" s="18"/>
      <c r="L52" s="18"/>
      <c r="M52" s="18"/>
      <c r="N52" s="20"/>
    </row>
    <row r="53" s="2" customFormat="1" ht="33" customHeight="1" spans="1:14">
      <c r="A53" s="7"/>
      <c r="B53" s="7"/>
      <c r="C53" s="7"/>
      <c r="D53" s="18" t="s">
        <v>127</v>
      </c>
      <c r="E53" s="18"/>
      <c r="F53" s="18"/>
      <c r="G53" s="18"/>
      <c r="H53" s="18"/>
      <c r="I53" s="18"/>
      <c r="J53" s="18"/>
      <c r="K53" s="18"/>
      <c r="L53" s="18"/>
      <c r="M53" s="18"/>
      <c r="N53" s="20"/>
    </row>
    <row r="54" s="2" customFormat="1" customHeight="1" spans="1:14">
      <c r="A54" s="6" t="s">
        <v>128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</sheetData>
  <autoFilter xmlns:etc="http://www.wps.cn/officeDocument/2017/etCustomData" ref="A3:N50" etc:filterBottomFollowUsedRange="0">
    <extLst/>
  </autoFilter>
  <mergeCells count="14">
    <mergeCell ref="A1:N1"/>
    <mergeCell ref="A2:N2"/>
    <mergeCell ref="D52:G52"/>
    <mergeCell ref="D53:G53"/>
    <mergeCell ref="A54:N54"/>
    <mergeCell ref="A4:A10"/>
    <mergeCell ref="A11:A12"/>
    <mergeCell ref="A14:A15"/>
    <mergeCell ref="A17:A19"/>
    <mergeCell ref="A23:A24"/>
    <mergeCell ref="A26:A27"/>
    <mergeCell ref="A31:A33"/>
    <mergeCell ref="A35:A36"/>
    <mergeCell ref="A40:A43"/>
  </mergeCells>
  <printOptions horizontalCentered="1"/>
  <pageMargins left="0.751388888888889" right="0.751388888888889" top="1" bottom="1" header="0.511805555555556" footer="0.511805555555556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售后三包出库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兰哲</cp:lastModifiedBy>
  <dcterms:created xsi:type="dcterms:W3CDTF">2018-09-03T08:22:00Z</dcterms:created>
  <dcterms:modified xsi:type="dcterms:W3CDTF">2025-10-30T05:00:53Z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CBD1F13B4E94422E91976EB46A9B4D3C_13</vt:lpwstr>
  </property>
</Properties>
</file>