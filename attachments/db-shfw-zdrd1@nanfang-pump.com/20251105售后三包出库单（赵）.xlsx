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45" windowHeight="9675" tabRatio="456"/>
  </bookViews>
  <sheets>
    <sheet name="售后三包出库 " sheetId="85" r:id="rId1"/>
  </sheets>
  <definedNames>
    <definedName name="_xlnm._FilterDatabase" localSheetId="0" hidden="1">'售后三包出库 '!$A$3:$N$3</definedName>
    <definedName name="_xlnm.Print_Area" localSheetId="0">'售后三包出库 '!$A$1:$N$63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<sst xmlns="http://schemas.openxmlformats.org/spreadsheetml/2006/main" count="281" uniqueCount="99">
  <si>
    <t>南方泵业股份有限公司售后服务卡出库通知单</t>
  </si>
  <si>
    <t>发件人：**联系电话：0000-888888</t>
  </si>
  <si>
    <t>服务卡编码（CRM号）</t>
  </si>
  <si>
    <r>
      <rPr>
        <sz val="11"/>
        <rFont val="微软雅黑"/>
        <charset val="134"/>
      </rPr>
      <t>客户名称（开票单位）统一编码</t>
    </r>
    <r>
      <rPr>
        <sz val="11"/>
        <color rgb="FFFF0000"/>
        <rFont val="微软雅黑"/>
        <charset val="134"/>
      </rPr>
      <t>20091939</t>
    </r>
  </si>
  <si>
    <t>物料编码</t>
  </si>
  <si>
    <t>物料名称</t>
  </si>
  <si>
    <t>数量</t>
  </si>
  <si>
    <t>单价</t>
  </si>
  <si>
    <t>金额（三包和维护的填0元）</t>
  </si>
  <si>
    <t>销售办事处（上门办办事处）</t>
  </si>
  <si>
    <t>销售办事处编码</t>
  </si>
  <si>
    <r>
      <rPr>
        <sz val="11"/>
        <rFont val="微软雅黑"/>
        <charset val="134"/>
      </rPr>
      <t>类别（三包和维护的填</t>
    </r>
    <r>
      <rPr>
        <sz val="11"/>
        <color rgb="FFFF0000"/>
        <rFont val="微软雅黑"/>
        <charset val="134"/>
      </rPr>
      <t>ZTNN,</t>
    </r>
    <r>
      <rPr>
        <sz val="11"/>
        <rFont val="微软雅黑"/>
        <charset val="134"/>
      </rPr>
      <t>收费的填ZTAN）</t>
    </r>
  </si>
  <si>
    <t>工厂</t>
  </si>
  <si>
    <t>库位（上门办办事处）</t>
  </si>
  <si>
    <t>上门办办事处编码</t>
  </si>
  <si>
    <t>备注费用承担方（显示备注抬头信息：文本）</t>
  </si>
  <si>
    <r>
      <rPr>
        <sz val="11"/>
        <rFont val="微软雅黑"/>
        <charset val="134"/>
      </rPr>
      <t>单泵三包期内客户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</si>
  <si>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TD-40/BS1E4</t>
    </r>
  </si>
  <si>
    <r>
      <rPr>
        <sz val="11"/>
        <rFont val="宋体"/>
        <charset val="134"/>
      </rPr>
      <t>金华办</t>
    </r>
  </si>
  <si>
    <t>ZTNN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</si>
  <si>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|6313ZZ|NSK|C3|ENS|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</si>
  <si>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|392X5.3|</t>
    </r>
    <r>
      <rPr>
        <sz val="11"/>
        <rFont val="宋体"/>
        <charset val="134"/>
      </rPr>
      <t>丁腈橡胶</t>
    </r>
  </si>
  <si>
    <r>
      <rPr>
        <sz val="11"/>
        <rFont val="宋体"/>
        <charset val="134"/>
      </rPr>
      <t>叶轮隔套</t>
    </r>
    <r>
      <rPr>
        <sz val="11"/>
        <rFont val="Arial"/>
        <charset val="134"/>
      </rPr>
      <t>|CDL16-00-04|316L|21.5x17.5x43.59</t>
    </r>
  </si>
  <si>
    <r>
      <rPr>
        <sz val="11"/>
        <rFont val="宋体"/>
        <charset val="134"/>
      </rPr>
      <t>泰州办</t>
    </r>
  </si>
  <si>
    <r>
      <rPr>
        <sz val="11"/>
        <rFont val="宋体"/>
        <charset val="134"/>
      </rPr>
      <t>出水体</t>
    </r>
    <r>
      <rPr>
        <sz val="11"/>
        <rFont val="Arial"/>
        <charset val="134"/>
      </rPr>
      <t>|CHM8-03|316L</t>
    </r>
  </si>
  <si>
    <r>
      <rPr>
        <sz val="11"/>
        <rFont val="宋体"/>
        <charset val="134"/>
      </rPr>
      <t>密封座</t>
    </r>
    <r>
      <rPr>
        <sz val="11"/>
        <rFont val="Arial"/>
        <charset val="134"/>
      </rPr>
      <t>|CHM8-04-00|316L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</si>
  <si>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|CDM15-01-00|316L</t>
    </r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</si>
  <si>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|CDM15-03-00|316L</t>
    </r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</si>
  <si>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A|CDM15-04-00A|LS30|316L</t>
    </r>
  </si>
  <si>
    <r>
      <rPr>
        <sz val="11"/>
        <rFont val="宋体"/>
        <charset val="134"/>
      </rPr>
      <t>导流器</t>
    </r>
    <r>
      <rPr>
        <sz val="11"/>
        <rFont val="Arial"/>
        <charset val="134"/>
      </rPr>
      <t>|CMH15-18-07-00|316L</t>
    </r>
  </si>
  <si>
    <r>
      <rPr>
        <sz val="11"/>
        <rFont val="宋体"/>
        <charset val="134"/>
      </rPr>
      <t>进出水段</t>
    </r>
    <r>
      <rPr>
        <sz val="11"/>
        <rFont val="Arial"/>
        <charset val="134"/>
      </rPr>
      <t>|CHM15-6G/CHM20-6G|316L</t>
    </r>
  </si>
  <si>
    <r>
      <rPr>
        <sz val="11"/>
        <rFont val="宋体"/>
        <charset val="134"/>
      </rPr>
      <t>压板</t>
    </r>
    <r>
      <rPr>
        <sz val="11"/>
        <rFont val="Arial"/>
        <charset val="134"/>
      </rPr>
      <t>|CHM16-02|YZAlSi10</t>
    </r>
  </si>
  <si>
    <r>
      <t>316L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ZS-24/S2S1E6</t>
    </r>
  </si>
  <si>
    <r>
      <rPr>
        <sz val="11"/>
        <rFont val="宋体"/>
        <charset val="134"/>
      </rPr>
      <t>临沂办</t>
    </r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</si>
  <si>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|6204ZZ|NSK|C3|ENS|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</si>
  <si>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r>
      <rPr>
        <sz val="11"/>
        <rFont val="宋体"/>
        <charset val="134"/>
      </rPr>
      <t>张家港办</t>
    </r>
  </si>
  <si>
    <r>
      <rPr>
        <sz val="11"/>
        <rFont val="宋体"/>
        <charset val="134"/>
      </rPr>
      <t>普通进出水段</t>
    </r>
    <r>
      <rPr>
        <sz val="11"/>
        <rFont val="Arial"/>
        <charset val="134"/>
      </rPr>
      <t>|CDM10-13-01A|HT200</t>
    </r>
  </si>
  <si>
    <r>
      <rPr>
        <sz val="11"/>
        <rFont val="宋体"/>
        <charset val="134"/>
      </rPr>
      <t>北京一部</t>
    </r>
  </si>
  <si>
    <r>
      <rPr>
        <sz val="11"/>
        <rFont val="宋体"/>
        <charset val="134"/>
      </rPr>
      <t>机封</t>
    </r>
    <r>
      <rPr>
        <sz val="11"/>
        <rFont val="Arial"/>
        <charset val="134"/>
      </rPr>
      <t>|SZ125-80-160SF46-L(WG)</t>
    </r>
  </si>
  <si>
    <r>
      <rPr>
        <sz val="11"/>
        <rFont val="宋体"/>
        <charset val="134"/>
      </rPr>
      <t>天津办</t>
    </r>
  </si>
  <si>
    <r>
      <rPr>
        <sz val="11"/>
        <rFont val="宋体"/>
        <charset val="134"/>
      </rPr>
      <t>泵体</t>
    </r>
    <r>
      <rPr>
        <sz val="11"/>
        <rFont val="Arial"/>
        <charset val="134"/>
      </rPr>
      <t>|NISO65-40-200-02A|316</t>
    </r>
  </si>
  <si>
    <r>
      <rPr>
        <sz val="11"/>
        <rFont val="宋体"/>
        <charset val="134"/>
      </rPr>
      <t>包头办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</si>
  <si>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|WLT125-5A-01|304|ø167.1/139|50Hz</t>
    </r>
    <r>
      <rPr>
        <sz val="11"/>
        <rFont val="宋体"/>
        <charset val="134"/>
      </rPr>
      <t>切割</t>
    </r>
    <r>
      <rPr>
        <sz val="11"/>
        <rFont val="Arial"/>
        <charset val="134"/>
      </rPr>
      <t>|</t>
    </r>
    <r>
      <rPr>
        <sz val="11"/>
        <rFont val="宋体"/>
        <charset val="134"/>
      </rPr>
      <t>二代</t>
    </r>
  </si>
  <si>
    <r>
      <rPr>
        <sz val="11"/>
        <rFont val="宋体"/>
        <charset val="134"/>
      </rPr>
      <t>机械密封</t>
    </r>
    <r>
      <rPr>
        <sz val="11"/>
        <rFont val="Arial"/>
        <charset val="134"/>
      </rPr>
      <t>H-30|</t>
    </r>
    <r>
      <rPr>
        <sz val="11"/>
        <rFont val="宋体"/>
        <charset val="134"/>
      </rPr>
      <t>精科</t>
    </r>
    <r>
      <rPr>
        <sz val="11"/>
        <rFont val="Arial"/>
        <charset val="134"/>
      </rPr>
      <t>Φ30|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/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+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/</t>
    </r>
    <r>
      <rPr>
        <sz val="11"/>
        <rFont val="宋体"/>
        <charset val="134"/>
      </rPr>
      <t>碳化硅</t>
    </r>
    <r>
      <rPr>
        <sz val="11"/>
        <rFont val="Arial"/>
        <charset val="134"/>
      </rPr>
      <t>|F</t>
    </r>
  </si>
  <si>
    <r>
      <rPr>
        <sz val="11"/>
        <rFont val="宋体"/>
        <charset val="134"/>
      </rPr>
      <t>金山办</t>
    </r>
  </si>
  <si>
    <r>
      <rPr>
        <sz val="11"/>
        <rFont val="宋体"/>
        <charset val="134"/>
      </rPr>
      <t>出水导叶</t>
    </r>
    <r>
      <rPr>
        <sz val="11"/>
        <rFont val="Arial"/>
        <charset val="134"/>
      </rPr>
      <t>|CDM3-05-00|304</t>
    </r>
  </si>
  <si>
    <r>
      <rPr>
        <sz val="11"/>
        <rFont val="宋体"/>
        <charset val="134"/>
      </rPr>
      <t>烟台一部</t>
    </r>
  </si>
  <si>
    <r>
      <rPr>
        <sz val="11"/>
        <rFont val="宋体"/>
        <charset val="134"/>
      </rPr>
      <t>泵头</t>
    </r>
    <r>
      <rPr>
        <sz val="11"/>
        <rFont val="Arial"/>
        <charset val="134"/>
      </rPr>
      <t>|CDM-BT-70X148C|HT200</t>
    </r>
  </si>
  <si>
    <r>
      <rPr>
        <sz val="11"/>
        <rFont val="宋体"/>
        <charset val="134"/>
      </rPr>
      <t>防护板</t>
    </r>
    <r>
      <rPr>
        <sz val="11"/>
        <rFont val="Arial"/>
        <charset val="134"/>
      </rPr>
      <t>|CDM-F-218A|304</t>
    </r>
  </si>
  <si>
    <r>
      <rPr>
        <sz val="11"/>
        <rFont val="宋体"/>
        <charset val="134"/>
      </rPr>
      <t>扬州办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</si>
  <si>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CDLA-12/S1S2F14</t>
    </r>
  </si>
  <si>
    <r>
      <rPr>
        <sz val="11"/>
        <rFont val="宋体"/>
        <charset val="134"/>
      </rPr>
      <t>台州办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</si>
  <si>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CDLA-16/WS2F14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</si>
  <si>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CDLA-16/WB1F14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</si>
  <si>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ZS-24/S2WE4</t>
    </r>
  </si>
  <si>
    <r>
      <rPr>
        <sz val="11"/>
        <rFont val="宋体"/>
        <charset val="134"/>
      </rPr>
      <t>叶轮垫片</t>
    </r>
    <r>
      <rPr>
        <sz val="11"/>
        <rFont val="Arial"/>
        <charset val="134"/>
      </rPr>
      <t>|TD40-48-06|304|</t>
    </r>
    <r>
      <rPr>
        <sz val="11"/>
        <rFont val="宋体"/>
        <charset val="134"/>
      </rPr>
      <t>垫片</t>
    </r>
    <r>
      <rPr>
        <sz val="11"/>
        <rFont val="Arial"/>
        <charset val="134"/>
      </rPr>
      <t>14|28X15X3</t>
    </r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</si>
  <si>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|ZS65-40-200/11.0-04|304+45</t>
    </r>
  </si>
  <si>
    <r>
      <rPr>
        <sz val="11"/>
        <rFont val="宋体"/>
        <charset val="134"/>
      </rPr>
      <t>泵体</t>
    </r>
    <r>
      <rPr>
        <sz val="11"/>
        <rFont val="Arial"/>
        <charset val="134"/>
      </rPr>
      <t>|ZS80-65-160/15.0-03-00|304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</si>
  <si>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|ZS80-65-160/11.0-01|304|</t>
    </r>
    <r>
      <rPr>
        <sz val="11"/>
        <rFont val="宋体"/>
        <charset val="134"/>
      </rPr>
      <t>标配</t>
    </r>
    <r>
      <rPr>
        <sz val="11"/>
        <rFont val="Arial"/>
        <charset val="134"/>
      </rPr>
      <t>φ153</t>
    </r>
  </si>
  <si>
    <r>
      <rPr>
        <sz val="11"/>
        <rFont val="宋体"/>
        <charset val="134"/>
      </rPr>
      <t>键</t>
    </r>
    <r>
      <rPr>
        <sz val="11"/>
        <rFont val="Arial"/>
        <charset val="134"/>
      </rPr>
      <t>|6X6X25|304|GB/T1096</t>
    </r>
  </si>
  <si>
    <r>
      <rPr>
        <sz val="11"/>
        <rFont val="宋体"/>
        <charset val="134"/>
      </rPr>
      <t>盖形螺母</t>
    </r>
    <r>
      <rPr>
        <sz val="11"/>
        <rFont val="Arial"/>
        <charset val="134"/>
      </rPr>
      <t>|M14|304|GB/T923</t>
    </r>
  </si>
  <si>
    <r>
      <rPr>
        <sz val="11"/>
        <rFont val="宋体"/>
        <charset val="134"/>
      </rPr>
      <t>弹簧垫圈</t>
    </r>
    <r>
      <rPr>
        <sz val="11"/>
        <rFont val="Arial"/>
        <charset val="134"/>
      </rPr>
      <t>|M14|304|GB/T93</t>
    </r>
  </si>
  <si>
    <r>
      <t>316L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CHM-19/WS2F16</t>
    </r>
  </si>
  <si>
    <r>
      <rPr>
        <sz val="11"/>
        <rFont val="宋体"/>
        <charset val="134"/>
      </rPr>
      <t>苏州五部</t>
    </r>
  </si>
  <si>
    <r>
      <rPr>
        <sz val="11"/>
        <rFont val="宋体"/>
        <charset val="134"/>
      </rPr>
      <t>排气阀</t>
    </r>
    <r>
      <rPr>
        <sz val="11"/>
        <rFont val="Arial"/>
        <charset val="134"/>
      </rPr>
      <t>|</t>
    </r>
    <r>
      <rPr>
        <sz val="11"/>
        <rFont val="宋体"/>
        <charset val="134"/>
      </rPr>
      <t>高温泵</t>
    </r>
    <r>
      <rPr>
        <sz val="11"/>
        <rFont val="Arial"/>
        <charset val="134"/>
      </rPr>
      <t>CDMG3T|304</t>
    </r>
  </si>
  <si>
    <r>
      <rPr>
        <sz val="11"/>
        <rFont val="宋体"/>
        <charset val="134"/>
      </rPr>
      <t>泵头</t>
    </r>
    <r>
      <rPr>
        <sz val="11"/>
        <rFont val="Arial"/>
        <charset val="134"/>
      </rPr>
      <t>|TD100-15Y-03|HT200|</t>
    </r>
    <r>
      <rPr>
        <sz val="11"/>
        <rFont val="宋体"/>
        <charset val="134"/>
      </rPr>
      <t>远大</t>
    </r>
  </si>
  <si>
    <r>
      <rPr>
        <sz val="11"/>
        <rFont val="宋体"/>
        <charset val="134"/>
      </rPr>
      <t>徐州办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</si>
  <si>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TD-28/BS1E4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</si>
  <si>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TDS-28/S2S1E4</t>
    </r>
  </si>
  <si>
    <r>
      <rPr>
        <sz val="11"/>
        <rFont val="宋体"/>
        <charset val="134"/>
      </rPr>
      <t>镇江办</t>
    </r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</si>
  <si>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</si>
  <si>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r>
      <rPr>
        <sz val="11"/>
        <rFont val="宋体"/>
        <charset val="134"/>
      </rPr>
      <t>宁波一部</t>
    </r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</si>
  <si>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|231X4|</t>
    </r>
    <r>
      <rPr>
        <sz val="11"/>
        <rFont val="宋体"/>
        <charset val="134"/>
      </rPr>
      <t>丁腈橡胶</t>
    </r>
  </si>
  <si>
    <r>
      <rPr>
        <sz val="11"/>
        <rFont val="宋体"/>
        <charset val="134"/>
      </rPr>
      <t>烟台二部</t>
    </r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</si>
  <si>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|CDM-YE3-132|</t>
    </r>
    <r>
      <rPr>
        <sz val="11"/>
        <rFont val="宋体"/>
        <charset val="134"/>
      </rPr>
      <t>三相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</si>
  <si>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NISO-43/BS1E4</t>
    </r>
  </si>
  <si>
    <r>
      <rPr>
        <sz val="11"/>
        <rFont val="宋体"/>
        <charset val="134"/>
      </rPr>
      <t>东营办</t>
    </r>
  </si>
  <si>
    <r>
      <rPr>
        <sz val="11"/>
        <rFont val="宋体"/>
        <charset val="134"/>
      </rPr>
      <t>济南四部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</si>
  <si>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CDLA-22/WSF14(TT)</t>
    </r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</si>
  <si>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|CDL-YE3-90|</t>
    </r>
    <r>
      <rPr>
        <sz val="11"/>
        <rFont val="宋体"/>
        <charset val="134"/>
      </rPr>
      <t>三相</t>
    </r>
    <r>
      <rPr>
        <sz val="11"/>
        <rFont val="Arial"/>
        <charset val="134"/>
      </rPr>
      <t>|</t>
    </r>
    <r>
      <rPr>
        <sz val="11"/>
        <rFont val="宋体"/>
        <charset val="134"/>
      </rPr>
      <t>风电</t>
    </r>
    <r>
      <rPr>
        <sz val="11"/>
        <rFont val="Arial"/>
        <charset val="134"/>
      </rPr>
      <t>26</t>
    </r>
  </si>
  <si>
    <r>
      <rPr>
        <sz val="11"/>
        <rFont val="宋体"/>
        <charset val="134"/>
      </rPr>
      <t>北京五部</t>
    </r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</si>
  <si>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</si>
  <si>
    <r>
      <rPr>
        <sz val="11"/>
        <rFont val="宋体"/>
        <charset val="134"/>
      </rPr>
      <t>杭州五部</t>
    </r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</si>
  <si>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|6206ZZ|NSK|C3|ENS|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</si>
  <si>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r>
      <rPr>
        <sz val="11"/>
        <rFont val="宋体"/>
        <charset val="134"/>
      </rPr>
      <t>无锡一部</t>
    </r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</si>
  <si>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|6306ZZ</t>
    </r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</si>
  <si>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|136.5X3.3|</t>
    </r>
    <r>
      <rPr>
        <sz val="11"/>
        <rFont val="宋体"/>
        <charset val="134"/>
      </rPr>
      <t>丁腈橡胶</t>
    </r>
  </si>
  <si>
    <r>
      <rPr>
        <sz val="11"/>
        <rFont val="宋体"/>
        <charset val="134"/>
      </rPr>
      <t>青浦办</t>
    </r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</si>
  <si>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ZS-24/BS1E4/S1BE4</t>
    </r>
  </si>
  <si>
    <r>
      <rPr>
        <sz val="11"/>
        <rFont val="宋体"/>
        <charset val="134"/>
      </rPr>
      <t>泰安办</t>
    </r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</si>
  <si>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|TD-YE3-100|</t>
    </r>
    <r>
      <rPr>
        <sz val="11"/>
        <rFont val="宋体"/>
        <charset val="134"/>
      </rPr>
      <t>三相</t>
    </r>
  </si>
  <si>
    <r>
      <rPr>
        <sz val="11"/>
        <rFont val="宋体"/>
        <charset val="134"/>
      </rPr>
      <t>青岛二部</t>
    </r>
  </si>
  <si>
    <r>
      <rPr>
        <sz val="11"/>
        <rFont val="宋体"/>
        <charset val="134"/>
      </rPr>
      <t>苏州一部</t>
    </r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</si>
  <si>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|CDM10-01-00|304</t>
    </r>
  </si>
  <si>
    <r>
      <rPr>
        <sz val="11"/>
        <rFont val="宋体"/>
        <charset val="134"/>
      </rPr>
      <t>导流器</t>
    </r>
    <r>
      <rPr>
        <sz val="11"/>
        <rFont val="Arial"/>
        <charset val="134"/>
      </rPr>
      <t>|CDM10-02-00|304</t>
    </r>
  </si>
  <si>
    <t>用户状态（签收）</t>
  </si>
  <si>
    <t>备注1：</t>
  </si>
  <si>
    <t>备注2：</t>
  </si>
  <si>
    <t>发件人：**联系电话：8888-8888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</si>
</sst>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</numFmts>
  <fonts count="30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微软雅黑"/>
      <charset val="134"/>
    </font>
    <font>
      <sz val="11"/>
      <name val="Arial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176" fontId="6" fillId="0" borderId="1" xfId="0" applyNumberFormat="1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69"/>
  <sheetViews>
    <sheetView tabSelected="1" zoomScale="85" zoomScaleNormal="85" zoomScaleSheetLayoutView="70" workbookViewId="0">
      <selection activeCell="B59" sqref="B59:B60"/>
    </sheetView>
  </sheetViews>
  <sheetFormatPr defaultColWidth="9" defaultRowHeight="30" customHeight="1"/>
  <cols>
    <col min="1" max="1" width="12.6416666666667" style="3" customWidth="1"/>
    <col min="2" max="2" width="16.4666666666667" style="3" customWidth="1"/>
    <col min="3" max="3" width="16.9" style="4" customWidth="1"/>
    <col min="4" max="4" width="14.1" style="3" customWidth="1"/>
    <col min="5" max="5" width="11.3166666666667" style="4" customWidth="1"/>
    <col min="6" max="6" width="9.55833333333333" style="4" customWidth="1"/>
    <col min="7" max="7" width="10.875" style="4" customWidth="1"/>
    <col min="8" max="8" width="9.85" style="4" customWidth="1"/>
    <col min="9" max="9" width="7.65" style="4" customWidth="1"/>
    <col min="10" max="10" width="10.1416666666667" style="4" customWidth="1"/>
    <col min="11" max="11" width="10.5833333333333" style="4" customWidth="1"/>
    <col min="12" max="12" width="9.7" style="4" customWidth="1"/>
    <col min="13" max="13" width="8.675" style="4" customWidth="1"/>
    <col min="14" max="14" width="48.5666666666667" style="4" customWidth="1"/>
    <col min="15" max="15" width="23.5666666666667" style="4" customWidth="1"/>
    <col min="16" max="16384" width="9" style="4"/>
  </cols>
  <sheetData>
    <row r="1" ht="49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49" customHeight="1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="1" customFormat="1" ht="76" customHeight="1" spans="1:14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8" t="s">
        <v>15</v>
      </c>
    </row>
    <row r="4" s="1" customFormat="1" ht="33" customHeight="1" spans="1:14">
      <c r="A4" s="9">
        <v>369581</v>
      </c>
      <c r="B4" s="10" t="s">
        <v>16</v>
      </c>
      <c r="C4" s="11">
        <v>1500003349</v>
      </c>
      <c r="D4" s="12" t="s">
        <v>17</v>
      </c>
      <c r="E4" s="13">
        <v>1</v>
      </c>
      <c r="F4" s="14">
        <v>0</v>
      </c>
      <c r="G4" s="15">
        <f>E4*F4</f>
        <v>0</v>
      </c>
      <c r="H4" s="12" t="s">
        <v>18</v>
      </c>
      <c r="I4" s="14">
        <v>1009</v>
      </c>
      <c r="J4" s="15" t="s">
        <v>19</v>
      </c>
      <c r="K4" s="15">
        <v>1072</v>
      </c>
      <c r="L4" s="12" t="s">
        <v>18</v>
      </c>
      <c r="M4" s="15">
        <v>4010</v>
      </c>
      <c r="N4" s="14"/>
    </row>
    <row r="5" s="1" customFormat="1" ht="33" customHeight="1" spans="1:14">
      <c r="A5" s="16"/>
      <c r="B5" s="17"/>
      <c r="C5" s="11">
        <v>1500004303</v>
      </c>
      <c r="D5" s="12" t="s">
        <v>20</v>
      </c>
      <c r="E5" s="13">
        <v>2</v>
      </c>
      <c r="F5" s="14">
        <v>0</v>
      </c>
      <c r="G5" s="15">
        <f t="shared" ref="G5:G36" si="0">E5*F5</f>
        <v>0</v>
      </c>
      <c r="H5" s="12" t="s">
        <v>18</v>
      </c>
      <c r="I5" s="14">
        <v>1009</v>
      </c>
      <c r="J5" s="15" t="s">
        <v>19</v>
      </c>
      <c r="K5" s="15">
        <v>1072</v>
      </c>
      <c r="L5" s="12" t="s">
        <v>18</v>
      </c>
      <c r="M5" s="15">
        <v>4010</v>
      </c>
      <c r="N5" s="14"/>
    </row>
    <row r="6" s="1" customFormat="1" ht="33" customHeight="1" spans="1:14">
      <c r="A6" s="18"/>
      <c r="B6" s="19"/>
      <c r="C6" s="11">
        <v>1500004829</v>
      </c>
      <c r="D6" s="12" t="s">
        <v>21</v>
      </c>
      <c r="E6" s="13">
        <v>1</v>
      </c>
      <c r="F6" s="14">
        <v>0</v>
      </c>
      <c r="G6" s="15">
        <f t="shared" si="0"/>
        <v>0</v>
      </c>
      <c r="H6" s="12" t="s">
        <v>18</v>
      </c>
      <c r="I6" s="14">
        <v>1009</v>
      </c>
      <c r="J6" s="15" t="s">
        <v>19</v>
      </c>
      <c r="K6" s="15">
        <v>1072</v>
      </c>
      <c r="L6" s="12" t="s">
        <v>18</v>
      </c>
      <c r="M6" s="15">
        <v>4010</v>
      </c>
      <c r="N6" s="14"/>
    </row>
    <row r="7" s="1" customFormat="1" ht="33" customHeight="1" spans="1:14">
      <c r="A7" s="9">
        <v>373413</v>
      </c>
      <c r="B7" s="10" t="s">
        <v>16</v>
      </c>
      <c r="C7" s="11">
        <v>1500003349</v>
      </c>
      <c r="D7" s="12" t="s">
        <v>17</v>
      </c>
      <c r="E7" s="13">
        <v>1</v>
      </c>
      <c r="F7" s="14">
        <v>0</v>
      </c>
      <c r="G7" s="15">
        <f t="shared" si="0"/>
        <v>0</v>
      </c>
      <c r="H7" s="12" t="s">
        <v>18</v>
      </c>
      <c r="I7" s="14">
        <v>1009</v>
      </c>
      <c r="J7" s="15" t="s">
        <v>19</v>
      </c>
      <c r="K7" s="15">
        <v>1072</v>
      </c>
      <c r="L7" s="12" t="s">
        <v>18</v>
      </c>
      <c r="M7" s="15">
        <v>4010</v>
      </c>
      <c r="N7" s="14"/>
    </row>
    <row r="8" s="1" customFormat="1" ht="33" customHeight="1" spans="1:14">
      <c r="A8" s="16"/>
      <c r="B8" s="17"/>
      <c r="C8" s="11">
        <v>1500004303</v>
      </c>
      <c r="D8" s="12" t="s">
        <v>20</v>
      </c>
      <c r="E8" s="13">
        <v>2</v>
      </c>
      <c r="F8" s="14">
        <v>0</v>
      </c>
      <c r="G8" s="15">
        <f t="shared" si="0"/>
        <v>0</v>
      </c>
      <c r="H8" s="12" t="s">
        <v>18</v>
      </c>
      <c r="I8" s="14">
        <v>1009</v>
      </c>
      <c r="J8" s="15" t="s">
        <v>19</v>
      </c>
      <c r="K8" s="15">
        <v>1072</v>
      </c>
      <c r="L8" s="12" t="s">
        <v>18</v>
      </c>
      <c r="M8" s="15">
        <v>4010</v>
      </c>
      <c r="N8" s="14"/>
    </row>
    <row r="9" s="1" customFormat="1" ht="33" customHeight="1" spans="1:14">
      <c r="A9" s="18"/>
      <c r="B9" s="19"/>
      <c r="C9" s="11">
        <v>1500004829</v>
      </c>
      <c r="D9" s="12" t="s">
        <v>21</v>
      </c>
      <c r="E9" s="13">
        <v>1</v>
      </c>
      <c r="F9" s="14">
        <v>0</v>
      </c>
      <c r="G9" s="15">
        <f t="shared" si="0"/>
        <v>0</v>
      </c>
      <c r="H9" s="12" t="s">
        <v>18</v>
      </c>
      <c r="I9" s="14">
        <v>1009</v>
      </c>
      <c r="J9" s="15" t="s">
        <v>19</v>
      </c>
      <c r="K9" s="15">
        <v>1072</v>
      </c>
      <c r="L9" s="12" t="s">
        <v>18</v>
      </c>
      <c r="M9" s="15">
        <v>4010</v>
      </c>
      <c r="N9" s="14"/>
    </row>
    <row r="10" s="1" customFormat="1" ht="33" customHeight="1" spans="1:14">
      <c r="A10" s="9">
        <v>374513</v>
      </c>
      <c r="B10" s="10" t="s">
        <v>16</v>
      </c>
      <c r="C10" s="11">
        <v>1400007276</v>
      </c>
      <c r="D10" s="12" t="s">
        <v>22</v>
      </c>
      <c r="E10" s="13">
        <v>2</v>
      </c>
      <c r="F10" s="14">
        <v>0</v>
      </c>
      <c r="G10" s="15">
        <f t="shared" si="0"/>
        <v>0</v>
      </c>
      <c r="H10" s="12" t="s">
        <v>23</v>
      </c>
      <c r="I10" s="14">
        <v>1134</v>
      </c>
      <c r="J10" s="15" t="s">
        <v>19</v>
      </c>
      <c r="K10" s="15">
        <v>1072</v>
      </c>
      <c r="L10" s="12" t="s">
        <v>23</v>
      </c>
      <c r="M10" s="15">
        <v>4129</v>
      </c>
      <c r="N10" s="14"/>
    </row>
    <row r="11" s="1" customFormat="1" ht="33" customHeight="1" spans="1:14">
      <c r="A11" s="16"/>
      <c r="B11" s="17"/>
      <c r="C11" s="11">
        <v>1400055281</v>
      </c>
      <c r="D11" s="12" t="s">
        <v>24</v>
      </c>
      <c r="E11" s="13">
        <v>1</v>
      </c>
      <c r="F11" s="14">
        <v>0</v>
      </c>
      <c r="G11" s="15">
        <f t="shared" si="0"/>
        <v>0</v>
      </c>
      <c r="H11" s="12" t="s">
        <v>23</v>
      </c>
      <c r="I11" s="14">
        <v>1134</v>
      </c>
      <c r="J11" s="15" t="s">
        <v>19</v>
      </c>
      <c r="K11" s="15">
        <v>1072</v>
      </c>
      <c r="L11" s="12" t="s">
        <v>23</v>
      </c>
      <c r="M11" s="15">
        <v>4129</v>
      </c>
      <c r="N11" s="14"/>
    </row>
    <row r="12" s="1" customFormat="1" ht="33" customHeight="1" spans="1:14">
      <c r="A12" s="16"/>
      <c r="B12" s="17"/>
      <c r="C12" s="11">
        <v>1400055282</v>
      </c>
      <c r="D12" s="12" t="s">
        <v>25</v>
      </c>
      <c r="E12" s="13">
        <v>1</v>
      </c>
      <c r="F12" s="14">
        <v>0</v>
      </c>
      <c r="G12" s="15">
        <f t="shared" si="0"/>
        <v>0</v>
      </c>
      <c r="H12" s="12" t="s">
        <v>23</v>
      </c>
      <c r="I12" s="14">
        <v>1134</v>
      </c>
      <c r="J12" s="15" t="s">
        <v>19</v>
      </c>
      <c r="K12" s="15">
        <v>1072</v>
      </c>
      <c r="L12" s="12" t="s">
        <v>23</v>
      </c>
      <c r="M12" s="15">
        <v>4129</v>
      </c>
      <c r="N12" s="14"/>
    </row>
    <row r="13" s="1" customFormat="1" ht="33" customHeight="1" spans="1:14">
      <c r="A13" s="16"/>
      <c r="B13" s="17"/>
      <c r="C13" s="11">
        <v>1400058364</v>
      </c>
      <c r="D13" s="12" t="s">
        <v>26</v>
      </c>
      <c r="E13" s="13">
        <v>6</v>
      </c>
      <c r="F13" s="14">
        <v>0</v>
      </c>
      <c r="G13" s="15">
        <f t="shared" si="0"/>
        <v>0</v>
      </c>
      <c r="H13" s="12" t="s">
        <v>23</v>
      </c>
      <c r="I13" s="14">
        <v>1134</v>
      </c>
      <c r="J13" s="15" t="s">
        <v>19</v>
      </c>
      <c r="K13" s="15">
        <v>1072</v>
      </c>
      <c r="L13" s="12" t="s">
        <v>23</v>
      </c>
      <c r="M13" s="15">
        <v>4129</v>
      </c>
      <c r="N13" s="14"/>
    </row>
    <row r="14" s="1" customFormat="1" ht="33" customHeight="1" spans="1:14">
      <c r="A14" s="16"/>
      <c r="B14" s="17"/>
      <c r="C14" s="11">
        <v>1400059041</v>
      </c>
      <c r="D14" s="12" t="s">
        <v>27</v>
      </c>
      <c r="E14" s="13">
        <v>3</v>
      </c>
      <c r="F14" s="14">
        <v>0</v>
      </c>
      <c r="G14" s="15">
        <f t="shared" si="0"/>
        <v>0</v>
      </c>
      <c r="H14" s="12" t="s">
        <v>23</v>
      </c>
      <c r="I14" s="14">
        <v>1134</v>
      </c>
      <c r="J14" s="15" t="s">
        <v>19</v>
      </c>
      <c r="K14" s="15">
        <v>1072</v>
      </c>
      <c r="L14" s="12" t="s">
        <v>23</v>
      </c>
      <c r="M14" s="15">
        <v>4129</v>
      </c>
      <c r="N14" s="14"/>
    </row>
    <row r="15" s="1" customFormat="1" ht="33" customHeight="1" spans="1:14">
      <c r="A15" s="16"/>
      <c r="B15" s="17"/>
      <c r="C15" s="11">
        <v>1400059237</v>
      </c>
      <c r="D15" s="12" t="s">
        <v>28</v>
      </c>
      <c r="E15" s="13">
        <v>1</v>
      </c>
      <c r="F15" s="14">
        <v>0</v>
      </c>
      <c r="G15" s="15">
        <f t="shared" si="0"/>
        <v>0</v>
      </c>
      <c r="H15" s="12" t="s">
        <v>23</v>
      </c>
      <c r="I15" s="14">
        <v>1134</v>
      </c>
      <c r="J15" s="15" t="s">
        <v>19</v>
      </c>
      <c r="K15" s="15">
        <v>1072</v>
      </c>
      <c r="L15" s="12" t="s">
        <v>23</v>
      </c>
      <c r="M15" s="15">
        <v>4129</v>
      </c>
      <c r="N15" s="14"/>
    </row>
    <row r="16" s="1" customFormat="1" ht="33" customHeight="1" spans="1:14">
      <c r="A16" s="16"/>
      <c r="B16" s="17"/>
      <c r="C16" s="11">
        <v>1400074001</v>
      </c>
      <c r="D16" s="12" t="s">
        <v>29</v>
      </c>
      <c r="E16" s="13">
        <v>1</v>
      </c>
      <c r="F16" s="14">
        <v>0</v>
      </c>
      <c r="G16" s="15">
        <f t="shared" si="0"/>
        <v>0</v>
      </c>
      <c r="H16" s="12" t="s">
        <v>23</v>
      </c>
      <c r="I16" s="14">
        <v>1134</v>
      </c>
      <c r="J16" s="15" t="s">
        <v>19</v>
      </c>
      <c r="K16" s="15">
        <v>1072</v>
      </c>
      <c r="L16" s="12" t="s">
        <v>23</v>
      </c>
      <c r="M16" s="15">
        <v>4129</v>
      </c>
      <c r="N16" s="14"/>
    </row>
    <row r="17" s="1" customFormat="1" ht="33" customHeight="1" spans="1:14">
      <c r="A17" s="16"/>
      <c r="B17" s="17"/>
      <c r="C17" s="11">
        <v>1400117526</v>
      </c>
      <c r="D17" s="12" t="s">
        <v>30</v>
      </c>
      <c r="E17" s="13">
        <v>1</v>
      </c>
      <c r="F17" s="14">
        <v>0</v>
      </c>
      <c r="G17" s="15">
        <f t="shared" si="0"/>
        <v>0</v>
      </c>
      <c r="H17" s="12" t="s">
        <v>23</v>
      </c>
      <c r="I17" s="14">
        <v>1134</v>
      </c>
      <c r="J17" s="15" t="s">
        <v>19</v>
      </c>
      <c r="K17" s="15">
        <v>1072</v>
      </c>
      <c r="L17" s="12" t="s">
        <v>23</v>
      </c>
      <c r="M17" s="15">
        <v>4129</v>
      </c>
      <c r="N17" s="14"/>
    </row>
    <row r="18" s="1" customFormat="1" ht="33" customHeight="1" spans="1:14">
      <c r="A18" s="18"/>
      <c r="B18" s="19"/>
      <c r="C18" s="11">
        <v>1400221294</v>
      </c>
      <c r="D18" s="12" t="s">
        <v>31</v>
      </c>
      <c r="E18" s="13">
        <v>1</v>
      </c>
      <c r="F18" s="14">
        <v>0</v>
      </c>
      <c r="G18" s="15">
        <f t="shared" si="0"/>
        <v>0</v>
      </c>
      <c r="H18" s="12" t="s">
        <v>23</v>
      </c>
      <c r="I18" s="14">
        <v>1134</v>
      </c>
      <c r="J18" s="15" t="s">
        <v>19</v>
      </c>
      <c r="K18" s="15">
        <v>1072</v>
      </c>
      <c r="L18" s="12" t="s">
        <v>23</v>
      </c>
      <c r="M18" s="15">
        <v>4129</v>
      </c>
      <c r="N18" s="14"/>
    </row>
    <row r="19" s="1" customFormat="1" ht="33" customHeight="1" spans="1:14">
      <c r="A19" s="20">
        <v>375752</v>
      </c>
      <c r="B19" s="21" t="s">
        <v>16</v>
      </c>
      <c r="C19" s="11">
        <v>1500003897</v>
      </c>
      <c r="D19" s="12" t="s">
        <v>32</v>
      </c>
      <c r="E19" s="13">
        <v>1</v>
      </c>
      <c r="F19" s="14">
        <v>0</v>
      </c>
      <c r="G19" s="15">
        <f t="shared" si="0"/>
        <v>0</v>
      </c>
      <c r="H19" s="12" t="s">
        <v>33</v>
      </c>
      <c r="I19" s="14">
        <v>1070</v>
      </c>
      <c r="J19" s="15" t="s">
        <v>19</v>
      </c>
      <c r="K19" s="15">
        <v>1072</v>
      </c>
      <c r="L19" s="12" t="s">
        <v>33</v>
      </c>
      <c r="M19" s="15">
        <v>4068</v>
      </c>
      <c r="N19" s="14"/>
    </row>
    <row r="20" s="1" customFormat="1" ht="33" customHeight="1" spans="1:14">
      <c r="A20" s="20">
        <v>376479</v>
      </c>
      <c r="B20" s="21" t="s">
        <v>16</v>
      </c>
      <c r="C20" s="11">
        <v>1500117926</v>
      </c>
      <c r="D20" s="12" t="s">
        <v>34</v>
      </c>
      <c r="E20" s="13">
        <v>2</v>
      </c>
      <c r="F20" s="14">
        <v>0</v>
      </c>
      <c r="G20" s="15">
        <f t="shared" si="0"/>
        <v>0</v>
      </c>
      <c r="H20" s="12" t="s">
        <v>35</v>
      </c>
      <c r="I20" s="14">
        <v>1025</v>
      </c>
      <c r="J20" s="15" t="s">
        <v>19</v>
      </c>
      <c r="K20" s="15">
        <v>1072</v>
      </c>
      <c r="L20" s="12" t="s">
        <v>35</v>
      </c>
      <c r="M20" s="15">
        <v>4024</v>
      </c>
      <c r="N20" s="14"/>
    </row>
    <row r="21" s="1" customFormat="1" ht="33" customHeight="1" spans="1:14">
      <c r="A21" s="20">
        <v>376537</v>
      </c>
      <c r="B21" s="21" t="s">
        <v>16</v>
      </c>
      <c r="C21" s="11">
        <v>1400059546</v>
      </c>
      <c r="D21" s="12" t="s">
        <v>36</v>
      </c>
      <c r="E21" s="13">
        <v>1</v>
      </c>
      <c r="F21" s="14">
        <v>0</v>
      </c>
      <c r="G21" s="15">
        <f t="shared" si="0"/>
        <v>0</v>
      </c>
      <c r="H21" s="12" t="s">
        <v>37</v>
      </c>
      <c r="I21" s="14">
        <v>1066</v>
      </c>
      <c r="J21" s="15" t="s">
        <v>19</v>
      </c>
      <c r="K21" s="15">
        <v>1072</v>
      </c>
      <c r="L21" s="12" t="s">
        <v>37</v>
      </c>
      <c r="M21" s="15">
        <v>4064</v>
      </c>
      <c r="N21" s="14"/>
    </row>
    <row r="22" s="1" customFormat="1" ht="33" customHeight="1" spans="1:14">
      <c r="A22" s="20">
        <v>376990</v>
      </c>
      <c r="B22" s="21" t="s">
        <v>16</v>
      </c>
      <c r="C22" s="11">
        <v>1400041497</v>
      </c>
      <c r="D22" s="12" t="s">
        <v>38</v>
      </c>
      <c r="E22" s="13">
        <v>1</v>
      </c>
      <c r="F22" s="14">
        <v>0</v>
      </c>
      <c r="G22" s="15">
        <f t="shared" si="0"/>
        <v>0</v>
      </c>
      <c r="H22" s="12" t="s">
        <v>39</v>
      </c>
      <c r="I22" s="14">
        <v>1093</v>
      </c>
      <c r="J22" s="15" t="s">
        <v>19</v>
      </c>
      <c r="K22" s="15">
        <v>1072</v>
      </c>
      <c r="L22" s="12" t="s">
        <v>39</v>
      </c>
      <c r="M22" s="15">
        <v>4091</v>
      </c>
      <c r="N22" s="14"/>
    </row>
    <row r="23" s="1" customFormat="1" ht="33" customHeight="1" spans="1:14">
      <c r="A23" s="20">
        <v>377180</v>
      </c>
      <c r="B23" s="21" t="s">
        <v>16</v>
      </c>
      <c r="C23" s="11">
        <v>1400000396</v>
      </c>
      <c r="D23" s="12" t="s">
        <v>40</v>
      </c>
      <c r="E23" s="13">
        <v>1</v>
      </c>
      <c r="F23" s="14">
        <v>0</v>
      </c>
      <c r="G23" s="15">
        <f t="shared" si="0"/>
        <v>0</v>
      </c>
      <c r="H23" s="12" t="s">
        <v>41</v>
      </c>
      <c r="I23" s="14">
        <v>1094</v>
      </c>
      <c r="J23" s="15" t="s">
        <v>19</v>
      </c>
      <c r="K23" s="15">
        <v>1072</v>
      </c>
      <c r="L23" s="12" t="s">
        <v>41</v>
      </c>
      <c r="M23" s="15">
        <v>4104</v>
      </c>
      <c r="N23" s="14"/>
    </row>
    <row r="24" s="1" customFormat="1" ht="33" customHeight="1" spans="1:14">
      <c r="A24" s="20">
        <v>377186</v>
      </c>
      <c r="B24" s="21" t="s">
        <v>16</v>
      </c>
      <c r="C24" s="11">
        <v>1400290836</v>
      </c>
      <c r="D24" s="12" t="s">
        <v>42</v>
      </c>
      <c r="E24" s="13">
        <v>1</v>
      </c>
      <c r="F24" s="14">
        <v>0</v>
      </c>
      <c r="G24" s="15">
        <f t="shared" si="0"/>
        <v>0</v>
      </c>
      <c r="H24" s="12" t="s">
        <v>23</v>
      </c>
      <c r="I24" s="14">
        <v>1134</v>
      </c>
      <c r="J24" s="15" t="s">
        <v>19</v>
      </c>
      <c r="K24" s="15">
        <v>1072</v>
      </c>
      <c r="L24" s="12" t="s">
        <v>23</v>
      </c>
      <c r="M24" s="15">
        <v>4129</v>
      </c>
      <c r="N24" s="14"/>
    </row>
    <row r="25" s="1" customFormat="1" ht="33" customHeight="1" spans="1:14">
      <c r="A25" s="20">
        <v>377350</v>
      </c>
      <c r="B25" s="21" t="s">
        <v>16</v>
      </c>
      <c r="C25" s="11">
        <v>1500091714</v>
      </c>
      <c r="D25" s="12" t="s">
        <v>43</v>
      </c>
      <c r="E25" s="13">
        <v>1</v>
      </c>
      <c r="F25" s="14">
        <v>0</v>
      </c>
      <c r="G25" s="15">
        <f t="shared" si="0"/>
        <v>0</v>
      </c>
      <c r="H25" s="12" t="s">
        <v>44</v>
      </c>
      <c r="I25" s="14">
        <v>1205</v>
      </c>
      <c r="J25" s="15" t="s">
        <v>19</v>
      </c>
      <c r="K25" s="15">
        <v>1072</v>
      </c>
      <c r="L25" s="12" t="s">
        <v>44</v>
      </c>
      <c r="M25" s="15">
        <v>4193</v>
      </c>
      <c r="N25" s="14"/>
    </row>
    <row r="26" s="1" customFormat="1" ht="33" customHeight="1" spans="1:14">
      <c r="A26" s="9">
        <v>377603</v>
      </c>
      <c r="B26" s="10" t="s">
        <v>16</v>
      </c>
      <c r="C26" s="11">
        <v>1400058626</v>
      </c>
      <c r="D26" s="12" t="s">
        <v>45</v>
      </c>
      <c r="E26" s="13">
        <v>1</v>
      </c>
      <c r="F26" s="14">
        <v>0</v>
      </c>
      <c r="G26" s="15">
        <f t="shared" si="0"/>
        <v>0</v>
      </c>
      <c r="H26" s="12" t="s">
        <v>46</v>
      </c>
      <c r="I26" s="14">
        <v>1075</v>
      </c>
      <c r="J26" s="15" t="s">
        <v>19</v>
      </c>
      <c r="K26" s="15">
        <v>1072</v>
      </c>
      <c r="L26" s="12" t="s">
        <v>46</v>
      </c>
      <c r="M26" s="15">
        <v>4073</v>
      </c>
      <c r="N26" s="14"/>
    </row>
    <row r="27" s="1" customFormat="1" ht="33" customHeight="1" spans="1:14">
      <c r="A27" s="18"/>
      <c r="B27" s="19"/>
      <c r="C27" s="11">
        <v>1400059194</v>
      </c>
      <c r="D27" s="12" t="s">
        <v>47</v>
      </c>
      <c r="E27" s="13">
        <v>1</v>
      </c>
      <c r="F27" s="14">
        <v>0</v>
      </c>
      <c r="G27" s="15">
        <f t="shared" si="0"/>
        <v>0</v>
      </c>
      <c r="H27" s="12" t="s">
        <v>46</v>
      </c>
      <c r="I27" s="14">
        <v>1075</v>
      </c>
      <c r="J27" s="15" t="s">
        <v>19</v>
      </c>
      <c r="K27" s="15">
        <v>1072</v>
      </c>
      <c r="L27" s="12" t="s">
        <v>46</v>
      </c>
      <c r="M27" s="15">
        <v>4073</v>
      </c>
      <c r="N27" s="14"/>
    </row>
    <row r="28" s="1" customFormat="1" ht="33" customHeight="1" spans="1:14">
      <c r="A28" s="20">
        <v>377615</v>
      </c>
      <c r="B28" s="21" t="s">
        <v>16</v>
      </c>
      <c r="C28" s="11">
        <v>1400089319</v>
      </c>
      <c r="D28" s="12" t="s">
        <v>48</v>
      </c>
      <c r="E28" s="13">
        <v>1</v>
      </c>
      <c r="F28" s="14">
        <v>0</v>
      </c>
      <c r="G28" s="15">
        <f t="shared" si="0"/>
        <v>0</v>
      </c>
      <c r="H28" s="12" t="s">
        <v>49</v>
      </c>
      <c r="I28" s="14">
        <v>1128</v>
      </c>
      <c r="J28" s="15" t="s">
        <v>19</v>
      </c>
      <c r="K28" s="15">
        <v>1072</v>
      </c>
      <c r="L28" s="12" t="s">
        <v>49</v>
      </c>
      <c r="M28" s="15">
        <v>4123</v>
      </c>
      <c r="N28" s="14"/>
    </row>
    <row r="29" s="1" customFormat="1" ht="33" customHeight="1" spans="1:14">
      <c r="A29" s="20">
        <v>377648</v>
      </c>
      <c r="B29" s="21" t="s">
        <v>16</v>
      </c>
      <c r="C29" s="11">
        <v>1500003425</v>
      </c>
      <c r="D29" s="12" t="s">
        <v>50</v>
      </c>
      <c r="E29" s="13">
        <v>1</v>
      </c>
      <c r="F29" s="14">
        <v>0</v>
      </c>
      <c r="G29" s="15">
        <f t="shared" si="0"/>
        <v>0</v>
      </c>
      <c r="H29" s="12" t="s">
        <v>51</v>
      </c>
      <c r="I29" s="14">
        <v>1114</v>
      </c>
      <c r="J29" s="15" t="s">
        <v>19</v>
      </c>
      <c r="K29" s="15">
        <v>1072</v>
      </c>
      <c r="L29" s="12" t="s">
        <v>51</v>
      </c>
      <c r="M29" s="15">
        <v>4121</v>
      </c>
      <c r="N29" s="14"/>
    </row>
    <row r="30" s="1" customFormat="1" ht="33" customHeight="1" spans="1:14">
      <c r="A30" s="9">
        <v>377687</v>
      </c>
      <c r="B30" s="10" t="s">
        <v>16</v>
      </c>
      <c r="C30" s="11">
        <v>1500003468</v>
      </c>
      <c r="D30" s="12" t="s">
        <v>52</v>
      </c>
      <c r="E30" s="13">
        <v>1</v>
      </c>
      <c r="F30" s="14">
        <v>0</v>
      </c>
      <c r="G30" s="15">
        <f t="shared" si="0"/>
        <v>0</v>
      </c>
      <c r="H30" s="12" t="s">
        <v>18</v>
      </c>
      <c r="I30" s="14">
        <v>1009</v>
      </c>
      <c r="J30" s="15" t="s">
        <v>19</v>
      </c>
      <c r="K30" s="15">
        <v>1072</v>
      </c>
      <c r="L30" s="12" t="s">
        <v>18</v>
      </c>
      <c r="M30" s="15">
        <v>4010</v>
      </c>
      <c r="N30" s="14"/>
    </row>
    <row r="31" s="1" customFormat="1" ht="33" customHeight="1" spans="1:14">
      <c r="A31" s="18"/>
      <c r="B31" s="19"/>
      <c r="C31" s="11">
        <v>1500003472</v>
      </c>
      <c r="D31" s="12" t="s">
        <v>53</v>
      </c>
      <c r="E31" s="13">
        <v>1</v>
      </c>
      <c r="F31" s="14">
        <v>0</v>
      </c>
      <c r="G31" s="15">
        <f t="shared" si="0"/>
        <v>0</v>
      </c>
      <c r="H31" s="12" t="s">
        <v>18</v>
      </c>
      <c r="I31" s="14">
        <v>1009</v>
      </c>
      <c r="J31" s="15" t="s">
        <v>19</v>
      </c>
      <c r="K31" s="15">
        <v>1072</v>
      </c>
      <c r="L31" s="12" t="s">
        <v>18</v>
      </c>
      <c r="M31" s="15">
        <v>4010</v>
      </c>
      <c r="N31" s="14"/>
    </row>
    <row r="32" s="1" customFormat="1" ht="33" customHeight="1" spans="1:14">
      <c r="A32" s="9">
        <v>377756</v>
      </c>
      <c r="B32" s="10" t="s">
        <v>16</v>
      </c>
      <c r="C32" s="11">
        <v>1500003241</v>
      </c>
      <c r="D32" s="12" t="s">
        <v>54</v>
      </c>
      <c r="E32" s="13">
        <v>1</v>
      </c>
      <c r="F32" s="14">
        <v>0</v>
      </c>
      <c r="G32" s="15">
        <f t="shared" si="0"/>
        <v>0</v>
      </c>
      <c r="H32" s="12" t="s">
        <v>18</v>
      </c>
      <c r="I32" s="14">
        <v>1009</v>
      </c>
      <c r="J32" s="15" t="s">
        <v>19</v>
      </c>
      <c r="K32" s="15">
        <v>1072</v>
      </c>
      <c r="L32" s="12" t="s">
        <v>18</v>
      </c>
      <c r="M32" s="15">
        <v>4010</v>
      </c>
      <c r="N32" s="14"/>
    </row>
    <row r="33" s="1" customFormat="1" ht="33" customHeight="1" spans="1:14">
      <c r="A33" s="16"/>
      <c r="B33" s="17"/>
      <c r="C33" s="11">
        <v>1400002620</v>
      </c>
      <c r="D33" s="12" t="s">
        <v>55</v>
      </c>
      <c r="E33" s="13">
        <v>1</v>
      </c>
      <c r="F33" s="14">
        <v>0</v>
      </c>
      <c r="G33" s="15">
        <f t="shared" si="0"/>
        <v>0</v>
      </c>
      <c r="H33" s="12" t="s">
        <v>18</v>
      </c>
      <c r="I33" s="14">
        <v>1009</v>
      </c>
      <c r="J33" s="15" t="s">
        <v>19</v>
      </c>
      <c r="K33" s="15">
        <v>1072</v>
      </c>
      <c r="L33" s="12" t="s">
        <v>18</v>
      </c>
      <c r="M33" s="15">
        <v>4010</v>
      </c>
      <c r="N33" s="14"/>
    </row>
    <row r="34" s="1" customFormat="1" ht="33" customHeight="1" spans="1:14">
      <c r="A34" s="16"/>
      <c r="B34" s="17"/>
      <c r="C34" s="11">
        <v>1400003800</v>
      </c>
      <c r="D34" s="12" t="s">
        <v>56</v>
      </c>
      <c r="E34" s="13">
        <v>1</v>
      </c>
      <c r="F34" s="14">
        <v>0</v>
      </c>
      <c r="G34" s="15">
        <f t="shared" si="0"/>
        <v>0</v>
      </c>
      <c r="H34" s="12" t="s">
        <v>18</v>
      </c>
      <c r="I34" s="14">
        <v>1009</v>
      </c>
      <c r="J34" s="15" t="s">
        <v>19</v>
      </c>
      <c r="K34" s="15">
        <v>1072</v>
      </c>
      <c r="L34" s="12" t="s">
        <v>18</v>
      </c>
      <c r="M34" s="15">
        <v>4010</v>
      </c>
      <c r="N34" s="14"/>
    </row>
    <row r="35" s="1" customFormat="1" ht="33" customHeight="1" spans="1:14">
      <c r="A35" s="16"/>
      <c r="B35" s="17"/>
      <c r="C35" s="11">
        <v>1400003844</v>
      </c>
      <c r="D35" s="12" t="s">
        <v>57</v>
      </c>
      <c r="E35" s="13">
        <v>1</v>
      </c>
      <c r="F35" s="14">
        <v>0</v>
      </c>
      <c r="G35" s="15">
        <f t="shared" si="0"/>
        <v>0</v>
      </c>
      <c r="H35" s="12" t="s">
        <v>18</v>
      </c>
      <c r="I35" s="14">
        <v>1009</v>
      </c>
      <c r="J35" s="15" t="s">
        <v>19</v>
      </c>
      <c r="K35" s="15">
        <v>1072</v>
      </c>
      <c r="L35" s="12" t="s">
        <v>18</v>
      </c>
      <c r="M35" s="15">
        <v>4010</v>
      </c>
      <c r="N35" s="14"/>
    </row>
    <row r="36" s="1" customFormat="1" ht="33" customHeight="1" spans="1:14">
      <c r="A36" s="16"/>
      <c r="B36" s="17"/>
      <c r="C36" s="11">
        <v>1400003941</v>
      </c>
      <c r="D36" s="12" t="s">
        <v>58</v>
      </c>
      <c r="E36" s="13">
        <v>1</v>
      </c>
      <c r="F36" s="14">
        <v>0</v>
      </c>
      <c r="G36" s="15">
        <f t="shared" si="0"/>
        <v>0</v>
      </c>
      <c r="H36" s="12" t="s">
        <v>18</v>
      </c>
      <c r="I36" s="14">
        <v>1009</v>
      </c>
      <c r="J36" s="15" t="s">
        <v>19</v>
      </c>
      <c r="K36" s="15">
        <v>1072</v>
      </c>
      <c r="L36" s="12" t="s">
        <v>18</v>
      </c>
      <c r="M36" s="15">
        <v>4010</v>
      </c>
      <c r="N36" s="14"/>
    </row>
    <row r="37" s="1" customFormat="1" ht="33" customHeight="1" spans="1:14">
      <c r="A37" s="16"/>
      <c r="B37" s="17"/>
      <c r="C37" s="11">
        <v>1500005066</v>
      </c>
      <c r="D37" s="12" t="s">
        <v>59</v>
      </c>
      <c r="E37" s="13">
        <v>1</v>
      </c>
      <c r="F37" s="14">
        <v>0</v>
      </c>
      <c r="G37" s="15">
        <f t="shared" ref="G37:G74" si="1">E37*F37</f>
        <v>0</v>
      </c>
      <c r="H37" s="12" t="s">
        <v>18</v>
      </c>
      <c r="I37" s="14">
        <v>1009</v>
      </c>
      <c r="J37" s="15" t="s">
        <v>19</v>
      </c>
      <c r="K37" s="15">
        <v>1072</v>
      </c>
      <c r="L37" s="12" t="s">
        <v>18</v>
      </c>
      <c r="M37" s="15">
        <v>4010</v>
      </c>
      <c r="N37" s="14"/>
    </row>
    <row r="38" s="1" customFormat="1" ht="33" customHeight="1" spans="1:14">
      <c r="A38" s="16"/>
      <c r="B38" s="17"/>
      <c r="C38" s="11">
        <v>1500005220</v>
      </c>
      <c r="D38" s="12" t="s">
        <v>60</v>
      </c>
      <c r="E38" s="13">
        <v>1</v>
      </c>
      <c r="F38" s="14">
        <v>0</v>
      </c>
      <c r="G38" s="15">
        <f t="shared" si="1"/>
        <v>0</v>
      </c>
      <c r="H38" s="12" t="s">
        <v>18</v>
      </c>
      <c r="I38" s="14">
        <v>1009</v>
      </c>
      <c r="J38" s="15" t="s">
        <v>19</v>
      </c>
      <c r="K38" s="15">
        <v>1072</v>
      </c>
      <c r="L38" s="12" t="s">
        <v>18</v>
      </c>
      <c r="M38" s="15">
        <v>4010</v>
      </c>
      <c r="N38" s="14"/>
    </row>
    <row r="39" s="1" customFormat="1" ht="33" customHeight="1" spans="1:14">
      <c r="A39" s="18"/>
      <c r="B39" s="19"/>
      <c r="C39" s="11">
        <v>1500005955</v>
      </c>
      <c r="D39" s="12" t="s">
        <v>61</v>
      </c>
      <c r="E39" s="13">
        <v>1</v>
      </c>
      <c r="F39" s="14">
        <v>0</v>
      </c>
      <c r="G39" s="15">
        <f t="shared" si="1"/>
        <v>0</v>
      </c>
      <c r="H39" s="12" t="s">
        <v>18</v>
      </c>
      <c r="I39" s="14">
        <v>1009</v>
      </c>
      <c r="J39" s="15" t="s">
        <v>19</v>
      </c>
      <c r="K39" s="15">
        <v>1072</v>
      </c>
      <c r="L39" s="12" t="s">
        <v>18</v>
      </c>
      <c r="M39" s="15">
        <v>4010</v>
      </c>
      <c r="N39" s="14"/>
    </row>
    <row r="40" s="1" customFormat="1" ht="33" customHeight="1" spans="1:14">
      <c r="A40" s="20">
        <v>377758</v>
      </c>
      <c r="B40" s="21" t="s">
        <v>16</v>
      </c>
      <c r="C40" s="11">
        <v>1500055159</v>
      </c>
      <c r="D40" s="12" t="s">
        <v>62</v>
      </c>
      <c r="E40" s="13">
        <v>1</v>
      </c>
      <c r="F40" s="14">
        <v>0</v>
      </c>
      <c r="G40" s="15">
        <f t="shared" si="1"/>
        <v>0</v>
      </c>
      <c r="H40" s="12" t="s">
        <v>63</v>
      </c>
      <c r="I40" s="14">
        <v>1201</v>
      </c>
      <c r="J40" s="15" t="s">
        <v>19</v>
      </c>
      <c r="K40" s="15">
        <v>1072</v>
      </c>
      <c r="L40" s="12" t="s">
        <v>63</v>
      </c>
      <c r="M40" s="15">
        <v>4189</v>
      </c>
      <c r="N40" s="14"/>
    </row>
    <row r="41" s="1" customFormat="1" ht="33" customHeight="1" spans="1:14">
      <c r="A41" s="20">
        <v>377907</v>
      </c>
      <c r="B41" s="21" t="s">
        <v>16</v>
      </c>
      <c r="C41" s="11">
        <v>1400092502</v>
      </c>
      <c r="D41" s="12" t="s">
        <v>64</v>
      </c>
      <c r="E41" s="13">
        <v>1</v>
      </c>
      <c r="F41" s="14">
        <v>0</v>
      </c>
      <c r="G41" s="15">
        <f t="shared" si="1"/>
        <v>0</v>
      </c>
      <c r="H41" s="12" t="s">
        <v>39</v>
      </c>
      <c r="I41" s="14">
        <v>1093</v>
      </c>
      <c r="J41" s="15" t="s">
        <v>19</v>
      </c>
      <c r="K41" s="15">
        <v>1072</v>
      </c>
      <c r="L41" s="12" t="s">
        <v>39</v>
      </c>
      <c r="M41" s="15">
        <v>4091</v>
      </c>
      <c r="N41" s="14"/>
    </row>
    <row r="42" s="1" customFormat="1" ht="33" customHeight="1" spans="1:14">
      <c r="A42" s="9">
        <v>377955</v>
      </c>
      <c r="B42" s="10" t="s">
        <v>16</v>
      </c>
      <c r="C42" s="11">
        <v>1400003761</v>
      </c>
      <c r="D42" s="12" t="s">
        <v>65</v>
      </c>
      <c r="E42" s="13">
        <v>1</v>
      </c>
      <c r="F42" s="14">
        <v>0</v>
      </c>
      <c r="G42" s="15">
        <f t="shared" si="1"/>
        <v>0</v>
      </c>
      <c r="H42" s="12" t="s">
        <v>66</v>
      </c>
      <c r="I42" s="14">
        <v>1016</v>
      </c>
      <c r="J42" s="15" t="s">
        <v>19</v>
      </c>
      <c r="K42" s="15">
        <v>1072</v>
      </c>
      <c r="L42" s="12" t="s">
        <v>66</v>
      </c>
      <c r="M42" s="15">
        <v>4017</v>
      </c>
      <c r="N42" s="14"/>
    </row>
    <row r="43" s="1" customFormat="1" ht="33" customHeight="1" spans="1:14">
      <c r="A43" s="18"/>
      <c r="B43" s="19"/>
      <c r="C43" s="11">
        <v>1500010464</v>
      </c>
      <c r="D43" s="12" t="s">
        <v>67</v>
      </c>
      <c r="E43" s="13">
        <v>1</v>
      </c>
      <c r="F43" s="14">
        <v>0</v>
      </c>
      <c r="G43" s="15">
        <f t="shared" si="1"/>
        <v>0</v>
      </c>
      <c r="H43" s="12" t="s">
        <v>66</v>
      </c>
      <c r="I43" s="14">
        <v>1016</v>
      </c>
      <c r="J43" s="15" t="s">
        <v>19</v>
      </c>
      <c r="K43" s="15">
        <v>1072</v>
      </c>
      <c r="L43" s="12" t="s">
        <v>66</v>
      </c>
      <c r="M43" s="15">
        <v>4017</v>
      </c>
      <c r="N43" s="14"/>
    </row>
    <row r="44" s="1" customFormat="1" ht="33" customHeight="1" spans="1:14">
      <c r="A44" s="20">
        <v>378006</v>
      </c>
      <c r="B44" s="21" t="s">
        <v>16</v>
      </c>
      <c r="C44" s="11">
        <v>1500049101</v>
      </c>
      <c r="D44" s="12" t="s">
        <v>68</v>
      </c>
      <c r="E44" s="13">
        <v>1</v>
      </c>
      <c r="F44" s="14">
        <v>0</v>
      </c>
      <c r="G44" s="15">
        <f t="shared" si="1"/>
        <v>0</v>
      </c>
      <c r="H44" s="12" t="s">
        <v>69</v>
      </c>
      <c r="I44" s="14">
        <v>1137</v>
      </c>
      <c r="J44" s="15" t="s">
        <v>19</v>
      </c>
      <c r="K44" s="15">
        <v>1072</v>
      </c>
      <c r="L44" s="12" t="s">
        <v>69</v>
      </c>
      <c r="M44" s="15">
        <v>4132</v>
      </c>
      <c r="N44" s="14"/>
    </row>
    <row r="45" s="1" customFormat="1" ht="33" customHeight="1" spans="1:14">
      <c r="A45" s="20">
        <v>378134</v>
      </c>
      <c r="B45" s="21" t="s">
        <v>16</v>
      </c>
      <c r="C45" s="11">
        <v>1500004283</v>
      </c>
      <c r="D45" s="12" t="s">
        <v>70</v>
      </c>
      <c r="E45" s="13">
        <v>2</v>
      </c>
      <c r="F45" s="14">
        <v>0</v>
      </c>
      <c r="G45" s="15">
        <f t="shared" si="1"/>
        <v>0</v>
      </c>
      <c r="H45" s="12" t="s">
        <v>71</v>
      </c>
      <c r="I45" s="14">
        <v>1013</v>
      </c>
      <c r="J45" s="15" t="s">
        <v>19</v>
      </c>
      <c r="K45" s="15">
        <v>1072</v>
      </c>
      <c r="L45" s="12" t="s">
        <v>71</v>
      </c>
      <c r="M45" s="15">
        <v>4014</v>
      </c>
      <c r="N45" s="14"/>
    </row>
    <row r="46" s="1" customFormat="1" ht="33" customHeight="1" spans="1:14">
      <c r="A46" s="20">
        <v>378148</v>
      </c>
      <c r="B46" s="21" t="s">
        <v>16</v>
      </c>
      <c r="C46" s="11">
        <v>1500004795</v>
      </c>
      <c r="D46" s="12" t="s">
        <v>72</v>
      </c>
      <c r="E46" s="13">
        <v>1</v>
      </c>
      <c r="F46" s="14">
        <v>0</v>
      </c>
      <c r="G46" s="15">
        <f t="shared" si="1"/>
        <v>0</v>
      </c>
      <c r="H46" s="12" t="s">
        <v>73</v>
      </c>
      <c r="I46" s="14">
        <v>1235</v>
      </c>
      <c r="J46" s="15" t="s">
        <v>19</v>
      </c>
      <c r="K46" s="15">
        <v>1072</v>
      </c>
      <c r="L46" s="12" t="s">
        <v>73</v>
      </c>
      <c r="M46" s="15">
        <v>4220</v>
      </c>
      <c r="N46" s="14"/>
    </row>
    <row r="47" s="1" customFormat="1" ht="33" customHeight="1" spans="1:14">
      <c r="A47" s="20">
        <v>378295</v>
      </c>
      <c r="B47" s="21" t="s">
        <v>16</v>
      </c>
      <c r="C47" s="11">
        <v>1400075364</v>
      </c>
      <c r="D47" s="12" t="s">
        <v>74</v>
      </c>
      <c r="E47" s="13">
        <v>1</v>
      </c>
      <c r="F47" s="14">
        <v>0</v>
      </c>
      <c r="G47" s="15">
        <f t="shared" si="1"/>
        <v>0</v>
      </c>
      <c r="H47" s="12" t="s">
        <v>35</v>
      </c>
      <c r="I47" s="14">
        <v>1025</v>
      </c>
      <c r="J47" s="15" t="s">
        <v>19</v>
      </c>
      <c r="K47" s="15">
        <v>1072</v>
      </c>
      <c r="L47" s="12" t="s">
        <v>35</v>
      </c>
      <c r="M47" s="15">
        <v>4024</v>
      </c>
      <c r="N47" s="14"/>
    </row>
    <row r="48" s="1" customFormat="1" ht="33" customHeight="1" spans="1:14">
      <c r="A48" s="20">
        <v>378355</v>
      </c>
      <c r="B48" s="21" t="s">
        <v>16</v>
      </c>
      <c r="C48" s="11">
        <v>1500003730</v>
      </c>
      <c r="D48" s="12" t="s">
        <v>75</v>
      </c>
      <c r="E48" s="13">
        <v>1</v>
      </c>
      <c r="F48" s="14">
        <v>0</v>
      </c>
      <c r="G48" s="15">
        <f t="shared" si="1"/>
        <v>0</v>
      </c>
      <c r="H48" s="12" t="s">
        <v>76</v>
      </c>
      <c r="I48" s="14">
        <v>1104</v>
      </c>
      <c r="J48" s="15" t="s">
        <v>19</v>
      </c>
      <c r="K48" s="15">
        <v>1072</v>
      </c>
      <c r="L48" s="12" t="s">
        <v>76</v>
      </c>
      <c r="M48" s="15">
        <v>4092</v>
      </c>
      <c r="N48" s="14"/>
    </row>
    <row r="49" s="1" customFormat="1" ht="33" customHeight="1" spans="1:14">
      <c r="A49" s="20">
        <v>378428</v>
      </c>
      <c r="B49" s="21" t="s">
        <v>16</v>
      </c>
      <c r="C49" s="11">
        <v>1400075364</v>
      </c>
      <c r="D49" s="12" t="s">
        <v>74</v>
      </c>
      <c r="E49" s="13">
        <v>1</v>
      </c>
      <c r="F49" s="14">
        <v>0</v>
      </c>
      <c r="G49" s="15">
        <f t="shared" si="1"/>
        <v>0</v>
      </c>
      <c r="H49" s="12" t="s">
        <v>77</v>
      </c>
      <c r="I49" s="14">
        <v>1069</v>
      </c>
      <c r="J49" s="15" t="s">
        <v>19</v>
      </c>
      <c r="K49" s="15">
        <v>1072</v>
      </c>
      <c r="L49" s="12" t="s">
        <v>77</v>
      </c>
      <c r="M49" s="15">
        <v>4067</v>
      </c>
      <c r="N49" s="14"/>
    </row>
    <row r="50" s="1" customFormat="1" ht="33" customHeight="1" spans="1:14">
      <c r="A50" s="20">
        <v>378493</v>
      </c>
      <c r="B50" s="21" t="s">
        <v>16</v>
      </c>
      <c r="C50" s="11">
        <v>1500003518</v>
      </c>
      <c r="D50" s="12" t="s">
        <v>78</v>
      </c>
      <c r="E50" s="13">
        <v>1</v>
      </c>
      <c r="F50" s="14">
        <v>0</v>
      </c>
      <c r="G50" s="15">
        <f t="shared" si="1"/>
        <v>0</v>
      </c>
      <c r="H50" s="12" t="s">
        <v>33</v>
      </c>
      <c r="I50" s="14">
        <v>1070</v>
      </c>
      <c r="J50" s="15" t="s">
        <v>19</v>
      </c>
      <c r="K50" s="15">
        <v>1072</v>
      </c>
      <c r="L50" s="12" t="s">
        <v>33</v>
      </c>
      <c r="M50" s="15">
        <v>4068</v>
      </c>
      <c r="N50" s="14"/>
    </row>
    <row r="51" s="1" customFormat="1" ht="33" customHeight="1" spans="1:14">
      <c r="A51" s="20">
        <v>378535</v>
      </c>
      <c r="B51" s="21" t="s">
        <v>16</v>
      </c>
      <c r="C51" s="11">
        <v>1400193929</v>
      </c>
      <c r="D51" s="12" t="s">
        <v>79</v>
      </c>
      <c r="E51" s="13">
        <v>1</v>
      </c>
      <c r="F51" s="14">
        <v>0</v>
      </c>
      <c r="G51" s="15">
        <f t="shared" si="1"/>
        <v>0</v>
      </c>
      <c r="H51" s="12" t="s">
        <v>80</v>
      </c>
      <c r="I51" s="14">
        <v>1182</v>
      </c>
      <c r="J51" s="15" t="s">
        <v>19</v>
      </c>
      <c r="K51" s="15">
        <v>1072</v>
      </c>
      <c r="L51" s="12" t="s">
        <v>80</v>
      </c>
      <c r="M51" s="15">
        <v>4177</v>
      </c>
      <c r="N51" s="14"/>
    </row>
    <row r="52" s="1" customFormat="1" ht="33" customHeight="1" spans="1:14">
      <c r="A52" s="20">
        <v>378572</v>
      </c>
      <c r="B52" s="21" t="s">
        <v>16</v>
      </c>
      <c r="C52" s="11">
        <v>1500033389</v>
      </c>
      <c r="D52" s="12" t="s">
        <v>81</v>
      </c>
      <c r="E52" s="13">
        <v>1</v>
      </c>
      <c r="F52" s="14">
        <v>0</v>
      </c>
      <c r="G52" s="15">
        <f t="shared" si="1"/>
        <v>0</v>
      </c>
      <c r="H52" s="12" t="s">
        <v>82</v>
      </c>
      <c r="I52" s="14">
        <v>1202</v>
      </c>
      <c r="J52" s="15" t="s">
        <v>19</v>
      </c>
      <c r="K52" s="15">
        <v>1072</v>
      </c>
      <c r="L52" s="12" t="s">
        <v>82</v>
      </c>
      <c r="M52" s="15">
        <v>4190</v>
      </c>
      <c r="N52" s="14"/>
    </row>
    <row r="53" s="1" customFormat="1" ht="33" customHeight="1" spans="1:14">
      <c r="A53" s="9">
        <v>378654</v>
      </c>
      <c r="B53" s="10" t="s">
        <v>16</v>
      </c>
      <c r="C53" s="11">
        <v>1500004253</v>
      </c>
      <c r="D53" s="12" t="s">
        <v>83</v>
      </c>
      <c r="E53" s="13">
        <v>1</v>
      </c>
      <c r="F53" s="14">
        <v>0</v>
      </c>
      <c r="G53" s="15">
        <f t="shared" si="1"/>
        <v>0</v>
      </c>
      <c r="H53" s="12" t="s">
        <v>84</v>
      </c>
      <c r="I53" s="14">
        <v>1017</v>
      </c>
      <c r="J53" s="15" t="s">
        <v>19</v>
      </c>
      <c r="K53" s="15">
        <v>1072</v>
      </c>
      <c r="L53" s="12" t="s">
        <v>84</v>
      </c>
      <c r="M53" s="15">
        <v>4018</v>
      </c>
      <c r="N53" s="14"/>
    </row>
    <row r="54" s="1" customFormat="1" ht="33" customHeight="1" spans="1:14">
      <c r="A54" s="18"/>
      <c r="B54" s="19"/>
      <c r="C54" s="11">
        <v>1500004278</v>
      </c>
      <c r="D54" s="12" t="s">
        <v>85</v>
      </c>
      <c r="E54" s="13">
        <v>1</v>
      </c>
      <c r="F54" s="14">
        <v>0</v>
      </c>
      <c r="G54" s="15">
        <f t="shared" si="1"/>
        <v>0</v>
      </c>
      <c r="H54" s="12" t="s">
        <v>84</v>
      </c>
      <c r="I54" s="14">
        <v>1017</v>
      </c>
      <c r="J54" s="15" t="s">
        <v>19</v>
      </c>
      <c r="K54" s="15">
        <v>1072</v>
      </c>
      <c r="L54" s="12" t="s">
        <v>84</v>
      </c>
      <c r="M54" s="15">
        <v>4018</v>
      </c>
      <c r="N54" s="14"/>
    </row>
    <row r="55" s="1" customFormat="1" ht="33" customHeight="1" spans="1:14">
      <c r="A55" s="20">
        <v>378675</v>
      </c>
      <c r="B55" s="21" t="s">
        <v>16</v>
      </c>
      <c r="C55" s="11">
        <v>1500004748</v>
      </c>
      <c r="D55" s="12" t="s">
        <v>86</v>
      </c>
      <c r="E55" s="13">
        <v>1</v>
      </c>
      <c r="F55" s="14">
        <v>0</v>
      </c>
      <c r="G55" s="15">
        <f t="shared" si="1"/>
        <v>0</v>
      </c>
      <c r="H55" s="12" t="s">
        <v>87</v>
      </c>
      <c r="I55" s="14">
        <v>1004</v>
      </c>
      <c r="J55" s="15" t="s">
        <v>19</v>
      </c>
      <c r="K55" s="15">
        <v>1072</v>
      </c>
      <c r="L55" s="12" t="s">
        <v>87</v>
      </c>
      <c r="M55" s="15">
        <v>4005</v>
      </c>
      <c r="N55" s="14"/>
    </row>
    <row r="56" s="1" customFormat="1" ht="33" customHeight="1" spans="1:14">
      <c r="A56" s="20">
        <v>378702</v>
      </c>
      <c r="B56" s="21" t="s">
        <v>16</v>
      </c>
      <c r="C56" s="11">
        <v>1500003244</v>
      </c>
      <c r="D56" s="12" t="s">
        <v>88</v>
      </c>
      <c r="E56" s="13">
        <v>1</v>
      </c>
      <c r="F56" s="14">
        <v>0</v>
      </c>
      <c r="G56" s="15">
        <f t="shared" si="1"/>
        <v>0</v>
      </c>
      <c r="H56" s="12" t="s">
        <v>89</v>
      </c>
      <c r="I56" s="14">
        <v>1101</v>
      </c>
      <c r="J56" s="15" t="s">
        <v>19</v>
      </c>
      <c r="K56" s="15">
        <v>1072</v>
      </c>
      <c r="L56" s="12" t="s">
        <v>89</v>
      </c>
      <c r="M56" s="15">
        <v>4111</v>
      </c>
      <c r="N56" s="14"/>
    </row>
    <row r="57" s="1" customFormat="1" ht="33" customHeight="1" spans="1:14">
      <c r="A57" s="20">
        <v>378715</v>
      </c>
      <c r="B57" s="21" t="s">
        <v>16</v>
      </c>
      <c r="C57" s="11">
        <v>1400054480</v>
      </c>
      <c r="D57" s="12" t="s">
        <v>90</v>
      </c>
      <c r="E57" s="13">
        <v>1</v>
      </c>
      <c r="F57" s="14">
        <v>0</v>
      </c>
      <c r="G57" s="15">
        <f t="shared" si="1"/>
        <v>0</v>
      </c>
      <c r="H57" s="12" t="s">
        <v>91</v>
      </c>
      <c r="I57" s="14">
        <v>1176</v>
      </c>
      <c r="J57" s="15" t="s">
        <v>19</v>
      </c>
      <c r="K57" s="15">
        <v>1072</v>
      </c>
      <c r="L57" s="12" t="s">
        <v>91</v>
      </c>
      <c r="M57" s="15">
        <v>4171</v>
      </c>
      <c r="N57" s="14"/>
    </row>
    <row r="58" s="1" customFormat="1" ht="33" customHeight="1" spans="1:14">
      <c r="A58" s="20">
        <v>378766</v>
      </c>
      <c r="B58" s="21" t="s">
        <v>16</v>
      </c>
      <c r="C58" s="11">
        <v>1500003472</v>
      </c>
      <c r="D58" s="12" t="s">
        <v>53</v>
      </c>
      <c r="E58" s="13">
        <v>1</v>
      </c>
      <c r="F58" s="14">
        <v>0</v>
      </c>
      <c r="G58" s="15">
        <f t="shared" si="1"/>
        <v>0</v>
      </c>
      <c r="H58" s="12" t="s">
        <v>92</v>
      </c>
      <c r="I58" s="14">
        <v>1019</v>
      </c>
      <c r="J58" s="15" t="s">
        <v>19</v>
      </c>
      <c r="K58" s="15">
        <v>1072</v>
      </c>
      <c r="L58" s="12" t="s">
        <v>92</v>
      </c>
      <c r="M58" s="15">
        <v>4020</v>
      </c>
      <c r="N58" s="14"/>
    </row>
    <row r="59" s="1" customFormat="1" ht="33" customHeight="1" spans="1:14">
      <c r="A59" s="9">
        <v>378924</v>
      </c>
      <c r="B59" s="10" t="s">
        <v>16</v>
      </c>
      <c r="C59" s="11">
        <v>1400058161</v>
      </c>
      <c r="D59" s="12" t="s">
        <v>93</v>
      </c>
      <c r="E59" s="13">
        <v>1</v>
      </c>
      <c r="F59" s="14">
        <v>0</v>
      </c>
      <c r="G59" s="15">
        <f t="shared" si="1"/>
        <v>0</v>
      </c>
      <c r="H59" s="12" t="s">
        <v>92</v>
      </c>
      <c r="I59" s="14">
        <v>1019</v>
      </c>
      <c r="J59" s="15" t="s">
        <v>19</v>
      </c>
      <c r="K59" s="15">
        <v>1072</v>
      </c>
      <c r="L59" s="12" t="s">
        <v>92</v>
      </c>
      <c r="M59" s="15">
        <v>4020</v>
      </c>
      <c r="N59" s="14"/>
    </row>
    <row r="60" s="1" customFormat="1" ht="33" customHeight="1" spans="1:14">
      <c r="A60" s="18"/>
      <c r="B60" s="19"/>
      <c r="C60" s="11">
        <v>1400058200</v>
      </c>
      <c r="D60" s="12" t="s">
        <v>94</v>
      </c>
      <c r="E60" s="13">
        <v>1</v>
      </c>
      <c r="F60" s="14">
        <v>0</v>
      </c>
      <c r="G60" s="15">
        <f t="shared" si="1"/>
        <v>0</v>
      </c>
      <c r="H60" s="12" t="s">
        <v>92</v>
      </c>
      <c r="I60" s="14">
        <v>1019</v>
      </c>
      <c r="J60" s="15" t="s">
        <v>19</v>
      </c>
      <c r="K60" s="15">
        <v>1072</v>
      </c>
      <c r="L60" s="12" t="s">
        <v>92</v>
      </c>
      <c r="M60" s="15">
        <v>4020</v>
      </c>
      <c r="N60" s="14"/>
    </row>
    <row r="61" s="2" customFormat="1" ht="51" customHeight="1" spans="1:14">
      <c r="A61" s="22"/>
      <c r="B61" s="22"/>
      <c r="C61" s="22" t="s">
        <v>95</v>
      </c>
      <c r="D61" s="23" t="s">
        <v>96</v>
      </c>
      <c r="E61" s="23"/>
      <c r="F61" s="23"/>
      <c r="G61" s="8"/>
      <c r="H61" s="23"/>
      <c r="I61" s="14"/>
      <c r="J61" s="23"/>
      <c r="K61" s="23"/>
      <c r="L61" s="23"/>
      <c r="M61" s="15"/>
      <c r="N61" s="24"/>
    </row>
    <row r="62" s="2" customFormat="1" ht="33" customHeight="1" spans="1:14">
      <c r="A62" s="22"/>
      <c r="B62" s="22"/>
      <c r="C62" s="22"/>
      <c r="D62" s="23" t="s">
        <v>97</v>
      </c>
      <c r="E62" s="23"/>
      <c r="F62" s="23"/>
      <c r="G62" s="8"/>
      <c r="H62" s="23"/>
      <c r="I62" s="14"/>
      <c r="J62" s="23"/>
      <c r="K62" s="23"/>
      <c r="L62" s="23"/>
      <c r="M62" s="15"/>
      <c r="N62" s="24"/>
    </row>
    <row r="63" s="2" customFormat="1" customHeight="1" spans="1:14">
      <c r="A63" s="6" t="s">
        <v>98</v>
      </c>
      <c r="B63" s="6"/>
      <c r="C63" s="6"/>
      <c r="D63" s="6"/>
      <c r="E63" s="6"/>
      <c r="F63" s="6"/>
      <c r="G63" s="8"/>
      <c r="H63" s="6"/>
      <c r="I63" s="14"/>
      <c r="J63" s="6"/>
      <c r="K63" s="6"/>
      <c r="L63" s="6"/>
      <c r="M63" s="15"/>
      <c r="N63" s="6"/>
    </row>
    <row r="66" customHeight="1" spans="1:1">
      <c r="A66" s="25"/>
    </row>
    <row r="67" customHeight="1" spans="1:1">
      <c r="A67" s="25"/>
    </row>
    <row r="68" customHeight="1" spans="1:1">
      <c r="A68" s="25"/>
    </row>
    <row r="69" customHeight="1" spans="1:1">
      <c r="A69" s="25"/>
    </row>
  </sheetData>
  <mergeCells count="20">
    <mergeCell ref="A1:N1"/>
    <mergeCell ref="A2:N2"/>
    <mergeCell ref="A4:A6"/>
    <mergeCell ref="A7:A9"/>
    <mergeCell ref="A10:A18"/>
    <mergeCell ref="A26:A27"/>
    <mergeCell ref="A30:A31"/>
    <mergeCell ref="A32:A39"/>
    <mergeCell ref="A42:A43"/>
    <mergeCell ref="A53:A54"/>
    <mergeCell ref="A59:A60"/>
    <mergeCell ref="B4:B6"/>
    <mergeCell ref="B7:B9"/>
    <mergeCell ref="B10:B18"/>
    <mergeCell ref="B26:B27"/>
    <mergeCell ref="B30:B31"/>
    <mergeCell ref="B32:B39"/>
    <mergeCell ref="B42:B43"/>
    <mergeCell ref="B53:B54"/>
    <mergeCell ref="B59:B60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售后三包出库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布之家～窗帘 墙布</cp:lastModifiedBy>
  <dcterms:created xsi:type="dcterms:W3CDTF">2018-09-03T08:22:00Z</dcterms:created>
  <dcterms:modified xsi:type="dcterms:W3CDTF">2025-11-05T05:35:13Z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F2E9CC39A61045B494715452B7617314_13</vt:lpwstr>
  </property>
</Properties>
</file>