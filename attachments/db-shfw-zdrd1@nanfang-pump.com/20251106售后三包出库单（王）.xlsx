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456"/>
  </bookViews>
  <sheets>
    <sheet name="售后三包出库 " sheetId="85" r:id="rId1"/>
  </sheets>
  <definedNames>
    <definedName name="_xlnm._FilterDatabase" localSheetId="0" hidden="1">'售后三包出库 '!$A$3:$N$79</definedName>
    <definedName name="_xlnm.Print_Area" localSheetId="0">'售后三包出库 '!$A$1:$N$83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<sst xmlns="http://schemas.openxmlformats.org/spreadsheetml/2006/main" count="559" uniqueCount="204">
  <si>
    <t>南方泵业股份有限公司售后服务卡出库通知单</t>
  </si>
  <si>
    <t>发件人：**  联系电话：0000-888888</t>
  </si>
  <si>
    <t>服务卡编码（CRM号）</t>
  </si>
  <si>
    <r>
      <rPr>
        <sz val="11"/>
        <rFont val="微软雅黑"/>
        <charset val="134"/>
      </rPr>
      <t>客户名称（开票单位）统一编码</t>
    </r>
    <r>
      <rPr>
        <sz val="11"/>
        <color rgb="FFFF0000"/>
        <rFont val="微软雅黑"/>
        <charset val="134"/>
      </rPr>
      <t>20091939</t>
    </r>
  </si>
  <si>
    <t>物料编码</t>
  </si>
  <si>
    <t>物料名称</t>
  </si>
  <si>
    <t>数量</t>
  </si>
  <si>
    <t>单 价</t>
  </si>
  <si>
    <t>金 额（三包和维护的填0元）</t>
  </si>
  <si>
    <t>销售办事处（上门办办事处）</t>
  </si>
  <si>
    <t>销售办事处编码</t>
  </si>
  <si>
    <r>
      <rPr>
        <sz val="11"/>
        <rFont val="微软雅黑"/>
        <charset val="134"/>
      </rPr>
      <t>类别（三包和维护的填</t>
    </r>
    <r>
      <rPr>
        <sz val="11"/>
        <color rgb="FFFF0000"/>
        <rFont val="微软雅黑"/>
        <charset val="134"/>
      </rPr>
      <t>ZTNN,</t>
    </r>
    <r>
      <rPr>
        <sz val="11"/>
        <rFont val="微软雅黑"/>
        <charset val="134"/>
      </rPr>
      <t>收费的填ZTAN）</t>
    </r>
  </si>
  <si>
    <t>工厂</t>
  </si>
  <si>
    <t>库位（上门办办事处）</t>
  </si>
  <si>
    <t>办事处库位对应编码</t>
  </si>
  <si>
    <t>备注费用承担方（显示备注抬头信息：文本）</t>
  </si>
  <si>
    <t>单泵三包期内客户</t>
  </si>
  <si>
    <t>1400050338</t>
  </si>
  <si>
    <t>铁风罩|TD-YE3-132|三相</t>
  </si>
  <si>
    <t>黄石办</t>
  </si>
  <si>
    <t>ZTNN</t>
  </si>
  <si>
    <t>费用由武汉一部承担</t>
  </si>
  <si>
    <t>1400058897</t>
  </si>
  <si>
    <t>叶轮|CDM5-01-00|304</t>
  </si>
  <si>
    <t>长沙三部</t>
  </si>
  <si>
    <t>保内三包</t>
  </si>
  <si>
    <t>1400058914</t>
  </si>
  <si>
    <t>导叶|CDM5-03-00|304</t>
  </si>
  <si>
    <t>1400058924</t>
  </si>
  <si>
    <t>支撑导叶A|CDM5-04-00A|LS30|304</t>
  </si>
  <si>
    <t>1400148400</t>
  </si>
  <si>
    <t>泵轴|100ZW80-20-04|20Cr13</t>
  </si>
  <si>
    <t>临汾办</t>
  </si>
  <si>
    <t>1400116983</t>
  </si>
  <si>
    <t>静环压边圈|80ZW65-25-07|06Cr19Ni10</t>
  </si>
  <si>
    <t>1400140950</t>
  </si>
  <si>
    <t>泵盖|100ZW80-20-03|HT200</t>
  </si>
  <si>
    <t>1400148413</t>
  </si>
  <si>
    <t>轴套|150ZW200-20-08|WC</t>
  </si>
  <si>
    <t>1400148449</t>
  </si>
  <si>
    <t>叶轮螺母垫片|150ZW200-20-17|304</t>
  </si>
  <si>
    <t>1500004760</t>
  </si>
  <si>
    <t>O形圈|160X3.55|丁腈橡胶</t>
  </si>
  <si>
    <t>1500005433</t>
  </si>
  <si>
    <t>六角头螺栓|M12X35|镀锌8.8级|GB/T5783</t>
  </si>
  <si>
    <t>1500005873</t>
  </si>
  <si>
    <t>内六角凹端紧定螺钉|M10X8|45发黑|GB/T80</t>
  </si>
  <si>
    <t>1500005935</t>
  </si>
  <si>
    <t>平垫圈|12|镀锌|GB/T 97.1</t>
  </si>
  <si>
    <t>1500006116</t>
  </si>
  <si>
    <t>方形管堵|G1/2</t>
  </si>
  <si>
    <t>1500021463</t>
  </si>
  <si>
    <t>O形圈|260X3.55|丁腈橡胶</t>
  </si>
  <si>
    <t>1500100353</t>
  </si>
  <si>
    <t>键|12X8X35|304|GB/T1096</t>
  </si>
  <si>
    <t>1500104155</t>
  </si>
  <si>
    <t>尼龙锁紧螺母|M24|304|DIN985</t>
  </si>
  <si>
    <t>1500118236</t>
  </si>
  <si>
    <t>滑动轴承|200ZW300-20-09|YG8</t>
  </si>
  <si>
    <t>1500130171</t>
  </si>
  <si>
    <t>机械密封H-45|精科Φ45|碳化硅/碳化硅+碳化硅/碳化硅</t>
  </si>
  <si>
    <t>1400041424</t>
  </si>
  <si>
    <t>叶轮|SZ40-25-250SF46-L(WG)</t>
  </si>
  <si>
    <t>湛江办</t>
  </si>
  <si>
    <t>费用由青岛一部承担</t>
  </si>
  <si>
    <t>1400067648</t>
  </si>
  <si>
    <t>铁风罩|YE3-160|三相|B35</t>
  </si>
  <si>
    <t>太原办</t>
  </si>
  <si>
    <t>1400175450</t>
  </si>
  <si>
    <t>风罩螺丝|YE3-160|三相|B35</t>
  </si>
  <si>
    <t>1400005011</t>
  </si>
  <si>
    <t>变频风机+风罩|G-112</t>
  </si>
  <si>
    <t>兰州办</t>
  </si>
  <si>
    <t>1500053669</t>
  </si>
  <si>
    <t>316L机械密封NISO-60/S2S1F16</t>
  </si>
  <si>
    <t>东莞一部</t>
  </si>
  <si>
    <t>费用由清远办承担</t>
  </si>
  <si>
    <t>1500184565</t>
  </si>
  <si>
    <t>电机格兰头|YVP-200L2-2|B35</t>
  </si>
  <si>
    <t>广州一部</t>
  </si>
  <si>
    <t>厦门办</t>
  </si>
  <si>
    <t>费用由赤峰办承担</t>
  </si>
  <si>
    <t>1500005518</t>
  </si>
  <si>
    <t>地脚螺栓|M16X400|45</t>
  </si>
  <si>
    <t>1500039836</t>
  </si>
  <si>
    <t>316L机械密封NISO-33/S2WF16</t>
  </si>
  <si>
    <t>1400033928</t>
  </si>
  <si>
    <t>叶轮|MS250/2.2-03-00|304</t>
  </si>
  <si>
    <t>深圳一部</t>
  </si>
  <si>
    <t>费用由深圳一部承担</t>
  </si>
  <si>
    <t>1400033883</t>
  </si>
  <si>
    <t>导叶|MS330/2.2-02|304</t>
  </si>
  <si>
    <t>1400218050</t>
  </si>
  <si>
    <t>口环|MS330/2.2-08B|PPS+40%GF</t>
  </si>
  <si>
    <t>1500003117</t>
  </si>
  <si>
    <t>304机械密封MS-14/S1BE4</t>
  </si>
  <si>
    <t>1400006899</t>
  </si>
  <si>
    <t>轴套|CDL2A-05|LS30|Ф16x12.6x10.5</t>
  </si>
  <si>
    <t>费用由武汉二部承担</t>
  </si>
  <si>
    <t>1400013294</t>
  </si>
  <si>
    <t>密封座|CHM2-03-00|304</t>
  </si>
  <si>
    <t>成都一部</t>
  </si>
  <si>
    <t>1500003197</t>
  </si>
  <si>
    <t>304机械密封CHL-16/B1S1F4</t>
  </si>
  <si>
    <t>1500085545</t>
  </si>
  <si>
    <t>O形圈|116X4|丁腈橡胶</t>
  </si>
  <si>
    <t>1400006909</t>
  </si>
  <si>
    <t>调节桩|CDL32-00-09|大金氟橡胶F1(常规用)</t>
  </si>
  <si>
    <t>阜阳办</t>
  </si>
  <si>
    <t>1400123409</t>
  </si>
  <si>
    <t>CDM内芯|42-5|304|二代</t>
  </si>
  <si>
    <t>1500003514</t>
  </si>
  <si>
    <t>304机械密封CDLA-22/WB1F14</t>
  </si>
  <si>
    <t>1500004782</t>
  </si>
  <si>
    <t>O形圈|215X4|丁腈橡胶</t>
  </si>
  <si>
    <t>1500003349</t>
  </si>
  <si>
    <t>304机械密封TD-40/BS1E4</t>
  </si>
  <si>
    <t>南宁办</t>
  </si>
  <si>
    <t>1500096316</t>
  </si>
  <si>
    <t>深沟球轴承|6312ZZ|NSK|C3|ENS|高温160℃</t>
  </si>
  <si>
    <t>1500003429</t>
  </si>
  <si>
    <t>304机械密封CDLA-12/WB1F14</t>
  </si>
  <si>
    <t>昆明办</t>
  </si>
  <si>
    <t>1400007247</t>
  </si>
  <si>
    <t>卡套底座|CDL2A-06A|HT200</t>
  </si>
  <si>
    <t>芜湖办</t>
  </si>
  <si>
    <t>1500126116</t>
  </si>
  <si>
    <t>深沟球轴承|6311ZZ|NSK|C3|ENS|高温160℃</t>
  </si>
  <si>
    <t>1500004257</t>
  </si>
  <si>
    <t>深沟球轴承|6208ZZ|NSK|C3|ENS|高温160℃</t>
  </si>
  <si>
    <t>洛阳办</t>
  </si>
  <si>
    <t>1400032784</t>
  </si>
  <si>
    <t>密封垫CHLF8-00-02B|常温|δ0.5|Φ147|导叶止口|无石棉橡胶板</t>
  </si>
  <si>
    <t>1500003478</t>
  </si>
  <si>
    <t>304机械密封CDLA-16/WS2E4</t>
  </si>
  <si>
    <t>乌鲁木齐办</t>
  </si>
  <si>
    <t>费用由泰安办承担</t>
  </si>
  <si>
    <t>1400101965</t>
  </si>
  <si>
    <t>叶轮|50ZW10-20-01|HT200</t>
  </si>
  <si>
    <t>成都三部</t>
  </si>
  <si>
    <t>费用由绵阳办承担</t>
  </si>
  <si>
    <t>1500021103</t>
  </si>
  <si>
    <t>键|6X6X20|304|GB/T1096</t>
  </si>
  <si>
    <t>1500003157</t>
  </si>
  <si>
    <t>304机械密封CHL-16/B1S1E4</t>
  </si>
  <si>
    <t>汕头办</t>
  </si>
  <si>
    <t>费用由沈阳办承担</t>
  </si>
  <si>
    <t>1500154572</t>
  </si>
  <si>
    <t>304机械密封CDM-22/WWF14|刀口机封</t>
  </si>
  <si>
    <t>南昌一部</t>
  </si>
  <si>
    <t>1500090681</t>
  </si>
  <si>
    <t>304机械密封CDM-22/WB1F14</t>
  </si>
  <si>
    <t>银川办</t>
  </si>
  <si>
    <t>1500003321</t>
  </si>
  <si>
    <t>304机械密封TDS-28/BS1E4</t>
  </si>
  <si>
    <t>周口办</t>
  </si>
  <si>
    <t>1400135312</t>
  </si>
  <si>
    <t>轴承压盖|NM-XJ2-03|HT200</t>
  </si>
  <si>
    <t>武汉二部</t>
  </si>
  <si>
    <t>1400135313</t>
  </si>
  <si>
    <t>轴承外压盖|NM-XJ2-04|HT200</t>
  </si>
  <si>
    <t>1400141704</t>
  </si>
  <si>
    <t>悬架体|NM-XJ3-01|HT200</t>
  </si>
  <si>
    <t>1400141705</t>
  </si>
  <si>
    <t>泵轴|NM-XJ3-02A|20Cr13</t>
  </si>
  <si>
    <t>1500005408</t>
  </si>
  <si>
    <t>六角头螺栓|M8X25|镀锌8.8级|GB/T5783</t>
  </si>
  <si>
    <t>1500005411</t>
  </si>
  <si>
    <t>六角头螺栓|M8X35|镀锌8.8级|GB/T5783</t>
  </si>
  <si>
    <t>1500005932</t>
  </si>
  <si>
    <t>平垫圈|8|镀锌|GB/T 97.1</t>
  </si>
  <si>
    <t>1500006070</t>
  </si>
  <si>
    <t>304骨架油封45X65X8</t>
  </si>
  <si>
    <t>1500006072</t>
  </si>
  <si>
    <t>骨架油封35X55X8</t>
  </si>
  <si>
    <t>1500033387</t>
  </si>
  <si>
    <t>深沟球轴承|6309ZZ|NSK|C3|ENS|高温160℃</t>
  </si>
  <si>
    <t>1500033389</t>
  </si>
  <si>
    <t>深沟球轴承|6308ZZ|NSK|C3|ENS|高温160℃</t>
  </si>
  <si>
    <t>1500089903</t>
  </si>
  <si>
    <t>键|10X8X63|304|GB/T1096(加工标准件)</t>
  </si>
  <si>
    <t>1500004283</t>
  </si>
  <si>
    <t>深沟球轴承|6308ZZ|NSK|C3|ENS|高温160℃(TT)</t>
  </si>
  <si>
    <t>珠海办</t>
  </si>
  <si>
    <t>费用廊坊办承担</t>
  </si>
  <si>
    <t>郑州一部</t>
  </si>
  <si>
    <t>远大年结</t>
  </si>
  <si>
    <t>1500010464</t>
  </si>
  <si>
    <t>304机械密封TD-28/BS1E4</t>
  </si>
  <si>
    <t>1500003521</t>
  </si>
  <si>
    <t>304机械密封CDLA-22/WS2E4</t>
  </si>
  <si>
    <t>1400290206</t>
  </si>
  <si>
    <t>弹性块|ZWIIFG100-100-50(WG)</t>
  </si>
  <si>
    <t>长沙四部</t>
  </si>
  <si>
    <t>1500184228</t>
  </si>
  <si>
    <t>冷却水箱垫片|ZWIIFG100-100-50(WG)</t>
  </si>
  <si>
    <t>1500003167</t>
  </si>
  <si>
    <t>304机械密封CHL-20/B1S1F4</t>
  </si>
  <si>
    <t>费用由增城办承担</t>
  </si>
  <si>
    <t>费用由济南四部承担</t>
  </si>
  <si>
    <t>用户状态（签收）</t>
  </si>
  <si>
    <t>备注1：</t>
  </si>
  <si>
    <t>备注2：</t>
  </si>
  <si>
    <t>发件人：**  联系电话：8888-8888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</si>
</sst>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,##0.00"/>
  </numFmts>
  <fonts count="2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微软雅黑"/>
      <charset val="134"/>
    </font>
    <font>
      <sz val="11"/>
      <name val="Arial"/>
      <charset val="134"/>
    </font>
    <font>
      <sz val="11"/>
      <name val="宋体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83"/>
  <sheetViews>
    <sheetView tabSelected="1" zoomScale="85" zoomScaleNormal="85" zoomScaleSheetLayoutView="70" topLeftCell="A68" workbookViewId="0">
      <selection activeCell="C79" sqref="C79"/>
    </sheetView>
  </sheetViews>
  <sheetFormatPr defaultColWidth="9" defaultRowHeight="30" customHeight="1"/>
  <cols>
    <col min="1" max="1" width="14.6333333333333" style="3" customWidth="1"/>
    <col min="2" max="2" width="21.025" style="3" customWidth="1"/>
    <col min="3" max="3" width="13.675" style="4" customWidth="1"/>
    <col min="4" max="4" width="14.1" style="3" customWidth="1"/>
    <col min="5" max="6" width="8.23333333333333" style="4" customWidth="1"/>
    <col min="7" max="7" width="8.23333333333333" style="5" customWidth="1"/>
    <col min="8" max="13" width="13.6666666666667" style="4" customWidth="1"/>
    <col min="14" max="14" width="27.0583333333333" style="4" customWidth="1"/>
    <col min="15" max="16384" width="9" style="4"/>
  </cols>
  <sheetData>
    <row r="1" ht="49" customHeight="1" spans="1:14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ht="49" customHeight="1" spans="1:14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="1" customFormat="1" ht="76" customHeight="1" spans="1:14">
      <c r="A3" s="7" t="s">
        <v>2</v>
      </c>
      <c r="B3" s="7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7" t="s">
        <v>8</v>
      </c>
      <c r="H3" s="7" t="s">
        <v>9</v>
      </c>
      <c r="I3" s="16" t="s">
        <v>10</v>
      </c>
      <c r="J3" s="7" t="s">
        <v>11</v>
      </c>
      <c r="K3" s="7" t="s">
        <v>12</v>
      </c>
      <c r="L3" s="7" t="s">
        <v>13</v>
      </c>
      <c r="M3" s="16" t="s">
        <v>14</v>
      </c>
      <c r="N3" s="7" t="s">
        <v>15</v>
      </c>
    </row>
    <row r="4" s="1" customFormat="1" ht="33" customHeight="1" spans="1:14">
      <c r="A4" s="9">
        <v>372409</v>
      </c>
      <c r="B4" s="7" t="s">
        <v>16</v>
      </c>
      <c r="C4" s="10" t="s">
        <v>17</v>
      </c>
      <c r="D4" s="11" t="s">
        <v>18</v>
      </c>
      <c r="E4" s="12">
        <v>1</v>
      </c>
      <c r="F4" s="8">
        <v>0</v>
      </c>
      <c r="G4" s="8">
        <f t="shared" ref="G4:G40" si="0">E4*F4</f>
        <v>0</v>
      </c>
      <c r="H4" s="8" t="s">
        <v>19</v>
      </c>
      <c r="I4" s="8">
        <v>1162</v>
      </c>
      <c r="J4" s="8" t="s">
        <v>20</v>
      </c>
      <c r="K4" s="8">
        <v>1072</v>
      </c>
      <c r="L4" s="8" t="s">
        <v>19</v>
      </c>
      <c r="M4" s="8">
        <v>4157</v>
      </c>
      <c r="N4" s="11" t="s">
        <v>21</v>
      </c>
    </row>
    <row r="5" s="1" customFormat="1" ht="33" customHeight="1" spans="1:14">
      <c r="A5" s="13">
        <v>374919</v>
      </c>
      <c r="B5" s="7" t="s">
        <v>16</v>
      </c>
      <c r="C5" s="10" t="s">
        <v>22</v>
      </c>
      <c r="D5" s="11" t="s">
        <v>23</v>
      </c>
      <c r="E5" s="12">
        <v>2</v>
      </c>
      <c r="F5" s="8">
        <v>0</v>
      </c>
      <c r="G5" s="8">
        <f t="shared" si="0"/>
        <v>0</v>
      </c>
      <c r="H5" s="8" t="s">
        <v>24</v>
      </c>
      <c r="I5" s="8">
        <v>1186</v>
      </c>
      <c r="J5" s="8" t="s">
        <v>20</v>
      </c>
      <c r="K5" s="8">
        <v>1072</v>
      </c>
      <c r="L5" s="8" t="s">
        <v>24</v>
      </c>
      <c r="M5" s="8">
        <v>4181</v>
      </c>
      <c r="N5" s="11" t="s">
        <v>25</v>
      </c>
    </row>
    <row r="6" s="1" customFormat="1" ht="33" customHeight="1" spans="1:14">
      <c r="A6" s="14"/>
      <c r="B6" s="7" t="s">
        <v>16</v>
      </c>
      <c r="C6" s="10" t="s">
        <v>26</v>
      </c>
      <c r="D6" s="11" t="s">
        <v>27</v>
      </c>
      <c r="E6" s="12">
        <v>1</v>
      </c>
      <c r="F6" s="8">
        <v>0</v>
      </c>
      <c r="G6" s="8">
        <f t="shared" si="0"/>
        <v>0</v>
      </c>
      <c r="H6" s="8" t="s">
        <v>24</v>
      </c>
      <c r="I6" s="8">
        <v>1186</v>
      </c>
      <c r="J6" s="8" t="s">
        <v>20</v>
      </c>
      <c r="K6" s="8">
        <v>1072</v>
      </c>
      <c r="L6" s="8" t="s">
        <v>24</v>
      </c>
      <c r="M6" s="8">
        <v>4181</v>
      </c>
      <c r="N6" s="11" t="s">
        <v>25</v>
      </c>
    </row>
    <row r="7" s="1" customFormat="1" ht="33" customHeight="1" spans="1:14">
      <c r="A7" s="15"/>
      <c r="B7" s="7" t="s">
        <v>16</v>
      </c>
      <c r="C7" s="10" t="s">
        <v>28</v>
      </c>
      <c r="D7" s="11" t="s">
        <v>29</v>
      </c>
      <c r="E7" s="12">
        <v>1</v>
      </c>
      <c r="F7" s="8">
        <v>0</v>
      </c>
      <c r="G7" s="8">
        <f t="shared" si="0"/>
        <v>0</v>
      </c>
      <c r="H7" s="8" t="s">
        <v>24</v>
      </c>
      <c r="I7" s="8">
        <v>1186</v>
      </c>
      <c r="J7" s="8" t="s">
        <v>20</v>
      </c>
      <c r="K7" s="8">
        <v>1072</v>
      </c>
      <c r="L7" s="8" t="s">
        <v>24</v>
      </c>
      <c r="M7" s="8">
        <v>4181</v>
      </c>
      <c r="N7" s="11" t="s">
        <v>25</v>
      </c>
    </row>
    <row r="8" s="1" customFormat="1" ht="33" customHeight="1" spans="1:14">
      <c r="A8" s="13">
        <v>375134</v>
      </c>
      <c r="B8" s="7" t="s">
        <v>16</v>
      </c>
      <c r="C8" s="10" t="s">
        <v>30</v>
      </c>
      <c r="D8" s="11" t="s">
        <v>31</v>
      </c>
      <c r="E8" s="12">
        <v>1</v>
      </c>
      <c r="F8" s="8">
        <v>0</v>
      </c>
      <c r="G8" s="8">
        <f t="shared" si="0"/>
        <v>0</v>
      </c>
      <c r="H8" s="8" t="s">
        <v>32</v>
      </c>
      <c r="I8" s="8">
        <v>1215</v>
      </c>
      <c r="J8" s="8" t="s">
        <v>20</v>
      </c>
      <c r="K8" s="8">
        <v>1072</v>
      </c>
      <c r="L8" s="8" t="s">
        <v>32</v>
      </c>
      <c r="M8" s="8">
        <v>4203</v>
      </c>
      <c r="N8" s="11" t="s">
        <v>25</v>
      </c>
    </row>
    <row r="9" s="1" customFormat="1" ht="33" customHeight="1" spans="1:14">
      <c r="A9" s="14"/>
      <c r="B9" s="7" t="s">
        <v>16</v>
      </c>
      <c r="C9" s="10" t="s">
        <v>33</v>
      </c>
      <c r="D9" s="11" t="s">
        <v>34</v>
      </c>
      <c r="E9" s="12">
        <v>1</v>
      </c>
      <c r="F9" s="8">
        <v>0</v>
      </c>
      <c r="G9" s="8">
        <f t="shared" si="0"/>
        <v>0</v>
      </c>
      <c r="H9" s="8" t="s">
        <v>32</v>
      </c>
      <c r="I9" s="8">
        <v>1215</v>
      </c>
      <c r="J9" s="8" t="s">
        <v>20</v>
      </c>
      <c r="K9" s="8">
        <v>1072</v>
      </c>
      <c r="L9" s="8" t="s">
        <v>32</v>
      </c>
      <c r="M9" s="8">
        <v>4203</v>
      </c>
      <c r="N9" s="11" t="s">
        <v>25</v>
      </c>
    </row>
    <row r="10" s="1" customFormat="1" ht="33" customHeight="1" spans="1:14">
      <c r="A10" s="14"/>
      <c r="B10" s="7" t="s">
        <v>16</v>
      </c>
      <c r="C10" s="10" t="s">
        <v>35</v>
      </c>
      <c r="D10" s="11" t="s">
        <v>36</v>
      </c>
      <c r="E10" s="12">
        <v>1</v>
      </c>
      <c r="F10" s="8">
        <v>0</v>
      </c>
      <c r="G10" s="8">
        <f t="shared" si="0"/>
        <v>0</v>
      </c>
      <c r="H10" s="8" t="s">
        <v>32</v>
      </c>
      <c r="I10" s="8">
        <v>1215</v>
      </c>
      <c r="J10" s="8" t="s">
        <v>20</v>
      </c>
      <c r="K10" s="8">
        <v>1072</v>
      </c>
      <c r="L10" s="8" t="s">
        <v>32</v>
      </c>
      <c r="M10" s="8">
        <v>4203</v>
      </c>
      <c r="N10" s="11" t="s">
        <v>25</v>
      </c>
    </row>
    <row r="11" s="1" customFormat="1" ht="33" customHeight="1" spans="1:14">
      <c r="A11" s="14"/>
      <c r="B11" s="7" t="s">
        <v>16</v>
      </c>
      <c r="C11" s="10" t="s">
        <v>37</v>
      </c>
      <c r="D11" s="11" t="s">
        <v>38</v>
      </c>
      <c r="E11" s="12">
        <v>1</v>
      </c>
      <c r="F11" s="8">
        <v>0</v>
      </c>
      <c r="G11" s="8">
        <f t="shared" si="0"/>
        <v>0</v>
      </c>
      <c r="H11" s="8" t="s">
        <v>32</v>
      </c>
      <c r="I11" s="8">
        <v>1215</v>
      </c>
      <c r="J11" s="8" t="s">
        <v>20</v>
      </c>
      <c r="K11" s="8">
        <v>1072</v>
      </c>
      <c r="L11" s="8" t="s">
        <v>32</v>
      </c>
      <c r="M11" s="8">
        <v>4203</v>
      </c>
      <c r="N11" s="11" t="s">
        <v>25</v>
      </c>
    </row>
    <row r="12" s="1" customFormat="1" ht="33" customHeight="1" spans="1:14">
      <c r="A12" s="14"/>
      <c r="B12" s="7" t="s">
        <v>16</v>
      </c>
      <c r="C12" s="10" t="s">
        <v>39</v>
      </c>
      <c r="D12" s="11" t="s">
        <v>40</v>
      </c>
      <c r="E12" s="12">
        <v>1</v>
      </c>
      <c r="F12" s="8">
        <v>0</v>
      </c>
      <c r="G12" s="8">
        <f t="shared" si="0"/>
        <v>0</v>
      </c>
      <c r="H12" s="8" t="s">
        <v>32</v>
      </c>
      <c r="I12" s="8">
        <v>1215</v>
      </c>
      <c r="J12" s="8" t="s">
        <v>20</v>
      </c>
      <c r="K12" s="8">
        <v>1072</v>
      </c>
      <c r="L12" s="8" t="s">
        <v>32</v>
      </c>
      <c r="M12" s="8">
        <v>4203</v>
      </c>
      <c r="N12" s="11" t="s">
        <v>25</v>
      </c>
    </row>
    <row r="13" s="1" customFormat="1" ht="33" customHeight="1" spans="1:14">
      <c r="A13" s="14"/>
      <c r="B13" s="7" t="s">
        <v>16</v>
      </c>
      <c r="C13" s="10" t="s">
        <v>41</v>
      </c>
      <c r="D13" s="11" t="s">
        <v>42</v>
      </c>
      <c r="E13" s="12">
        <v>1</v>
      </c>
      <c r="F13" s="8">
        <v>0</v>
      </c>
      <c r="G13" s="8">
        <f t="shared" si="0"/>
        <v>0</v>
      </c>
      <c r="H13" s="8" t="s">
        <v>32</v>
      </c>
      <c r="I13" s="8">
        <v>1215</v>
      </c>
      <c r="J13" s="8" t="s">
        <v>20</v>
      </c>
      <c r="K13" s="8">
        <v>1072</v>
      </c>
      <c r="L13" s="8" t="s">
        <v>32</v>
      </c>
      <c r="M13" s="8">
        <v>4203</v>
      </c>
      <c r="N13" s="11" t="s">
        <v>25</v>
      </c>
    </row>
    <row r="14" s="1" customFormat="1" ht="33" customHeight="1" spans="1:14">
      <c r="A14" s="14"/>
      <c r="B14" s="7" t="s">
        <v>16</v>
      </c>
      <c r="C14" s="10" t="s">
        <v>43</v>
      </c>
      <c r="D14" s="11" t="s">
        <v>44</v>
      </c>
      <c r="E14" s="12">
        <v>1</v>
      </c>
      <c r="F14" s="8">
        <v>0</v>
      </c>
      <c r="G14" s="8">
        <f t="shared" si="0"/>
        <v>0</v>
      </c>
      <c r="H14" s="8" t="s">
        <v>32</v>
      </c>
      <c r="I14" s="8">
        <v>1215</v>
      </c>
      <c r="J14" s="8" t="s">
        <v>20</v>
      </c>
      <c r="K14" s="8">
        <v>1072</v>
      </c>
      <c r="L14" s="8" t="s">
        <v>32</v>
      </c>
      <c r="M14" s="8">
        <v>4203</v>
      </c>
      <c r="N14" s="11" t="s">
        <v>25</v>
      </c>
    </row>
    <row r="15" s="1" customFormat="1" ht="33" customHeight="1" spans="1:14">
      <c r="A15" s="14"/>
      <c r="B15" s="7" t="s">
        <v>16</v>
      </c>
      <c r="C15" s="10" t="s">
        <v>45</v>
      </c>
      <c r="D15" s="11" t="s">
        <v>46</v>
      </c>
      <c r="E15" s="12">
        <v>1</v>
      </c>
      <c r="F15" s="8">
        <v>0</v>
      </c>
      <c r="G15" s="8">
        <f t="shared" si="0"/>
        <v>0</v>
      </c>
      <c r="H15" s="8" t="s">
        <v>32</v>
      </c>
      <c r="I15" s="8">
        <v>1215</v>
      </c>
      <c r="J15" s="8" t="s">
        <v>20</v>
      </c>
      <c r="K15" s="8">
        <v>1072</v>
      </c>
      <c r="L15" s="8" t="s">
        <v>32</v>
      </c>
      <c r="M15" s="8">
        <v>4203</v>
      </c>
      <c r="N15" s="11" t="s">
        <v>25</v>
      </c>
    </row>
    <row r="16" s="1" customFormat="1" ht="33" customHeight="1" spans="1:14">
      <c r="A16" s="14"/>
      <c r="B16" s="7" t="s">
        <v>16</v>
      </c>
      <c r="C16" s="10" t="s">
        <v>47</v>
      </c>
      <c r="D16" s="11" t="s">
        <v>48</v>
      </c>
      <c r="E16" s="12">
        <v>1</v>
      </c>
      <c r="F16" s="8">
        <v>0</v>
      </c>
      <c r="G16" s="8">
        <f t="shared" si="0"/>
        <v>0</v>
      </c>
      <c r="H16" s="8" t="s">
        <v>32</v>
      </c>
      <c r="I16" s="8">
        <v>1215</v>
      </c>
      <c r="J16" s="8" t="s">
        <v>20</v>
      </c>
      <c r="K16" s="8">
        <v>1072</v>
      </c>
      <c r="L16" s="8" t="s">
        <v>32</v>
      </c>
      <c r="M16" s="8">
        <v>4203</v>
      </c>
      <c r="N16" s="11" t="s">
        <v>25</v>
      </c>
    </row>
    <row r="17" s="1" customFormat="1" ht="33" customHeight="1" spans="1:14">
      <c r="A17" s="14"/>
      <c r="B17" s="7" t="s">
        <v>16</v>
      </c>
      <c r="C17" s="10" t="s">
        <v>49</v>
      </c>
      <c r="D17" s="11" t="s">
        <v>50</v>
      </c>
      <c r="E17" s="12">
        <v>1</v>
      </c>
      <c r="F17" s="8">
        <v>0</v>
      </c>
      <c r="G17" s="8">
        <f t="shared" si="0"/>
        <v>0</v>
      </c>
      <c r="H17" s="8" t="s">
        <v>32</v>
      </c>
      <c r="I17" s="8">
        <v>1215</v>
      </c>
      <c r="J17" s="8" t="s">
        <v>20</v>
      </c>
      <c r="K17" s="8">
        <v>1072</v>
      </c>
      <c r="L17" s="8" t="s">
        <v>32</v>
      </c>
      <c r="M17" s="8">
        <v>4203</v>
      </c>
      <c r="N17" s="11" t="s">
        <v>25</v>
      </c>
    </row>
    <row r="18" s="1" customFormat="1" ht="33" customHeight="1" spans="1:14">
      <c r="A18" s="14"/>
      <c r="B18" s="7" t="s">
        <v>16</v>
      </c>
      <c r="C18" s="10" t="s">
        <v>51</v>
      </c>
      <c r="D18" s="11" t="s">
        <v>52</v>
      </c>
      <c r="E18" s="12">
        <v>1</v>
      </c>
      <c r="F18" s="8">
        <v>0</v>
      </c>
      <c r="G18" s="8">
        <f t="shared" si="0"/>
        <v>0</v>
      </c>
      <c r="H18" s="8" t="s">
        <v>32</v>
      </c>
      <c r="I18" s="8">
        <v>1215</v>
      </c>
      <c r="J18" s="8" t="s">
        <v>20</v>
      </c>
      <c r="K18" s="8">
        <v>1072</v>
      </c>
      <c r="L18" s="8" t="s">
        <v>32</v>
      </c>
      <c r="M18" s="8">
        <v>4203</v>
      </c>
      <c r="N18" s="11" t="s">
        <v>25</v>
      </c>
    </row>
    <row r="19" s="1" customFormat="1" ht="33" customHeight="1" spans="1:14">
      <c r="A19" s="14"/>
      <c r="B19" s="7" t="s">
        <v>16</v>
      </c>
      <c r="C19" s="10" t="s">
        <v>53</v>
      </c>
      <c r="D19" s="11" t="s">
        <v>54</v>
      </c>
      <c r="E19" s="12">
        <v>1</v>
      </c>
      <c r="F19" s="8">
        <v>0</v>
      </c>
      <c r="G19" s="8">
        <f t="shared" si="0"/>
        <v>0</v>
      </c>
      <c r="H19" s="8" t="s">
        <v>32</v>
      </c>
      <c r="I19" s="8">
        <v>1215</v>
      </c>
      <c r="J19" s="8" t="s">
        <v>20</v>
      </c>
      <c r="K19" s="8">
        <v>1072</v>
      </c>
      <c r="L19" s="8" t="s">
        <v>32</v>
      </c>
      <c r="M19" s="8">
        <v>4203</v>
      </c>
      <c r="N19" s="11" t="s">
        <v>25</v>
      </c>
    </row>
    <row r="20" s="1" customFormat="1" ht="33" customHeight="1" spans="1:14">
      <c r="A20" s="14"/>
      <c r="B20" s="7" t="s">
        <v>16</v>
      </c>
      <c r="C20" s="10" t="s">
        <v>55</v>
      </c>
      <c r="D20" s="11" t="s">
        <v>56</v>
      </c>
      <c r="E20" s="12">
        <v>1</v>
      </c>
      <c r="F20" s="8">
        <v>0</v>
      </c>
      <c r="G20" s="8">
        <f t="shared" si="0"/>
        <v>0</v>
      </c>
      <c r="H20" s="8" t="s">
        <v>32</v>
      </c>
      <c r="I20" s="8">
        <v>1215</v>
      </c>
      <c r="J20" s="8" t="s">
        <v>20</v>
      </c>
      <c r="K20" s="8">
        <v>1072</v>
      </c>
      <c r="L20" s="8" t="s">
        <v>32</v>
      </c>
      <c r="M20" s="8">
        <v>4203</v>
      </c>
      <c r="N20" s="11" t="s">
        <v>25</v>
      </c>
    </row>
    <row r="21" s="1" customFormat="1" ht="33" customHeight="1" spans="1:14">
      <c r="A21" s="14"/>
      <c r="B21" s="7" t="s">
        <v>16</v>
      </c>
      <c r="C21" s="10" t="s">
        <v>57</v>
      </c>
      <c r="D21" s="11" t="s">
        <v>58</v>
      </c>
      <c r="E21" s="12">
        <v>1</v>
      </c>
      <c r="F21" s="8">
        <v>0</v>
      </c>
      <c r="G21" s="8">
        <f t="shared" si="0"/>
        <v>0</v>
      </c>
      <c r="H21" s="8" t="s">
        <v>32</v>
      </c>
      <c r="I21" s="8">
        <v>1215</v>
      </c>
      <c r="J21" s="8" t="s">
        <v>20</v>
      </c>
      <c r="K21" s="8">
        <v>1072</v>
      </c>
      <c r="L21" s="8" t="s">
        <v>32</v>
      </c>
      <c r="M21" s="8">
        <v>4203</v>
      </c>
      <c r="N21" s="11" t="s">
        <v>25</v>
      </c>
    </row>
    <row r="22" s="1" customFormat="1" ht="33" customHeight="1" spans="1:14">
      <c r="A22" s="15"/>
      <c r="B22" s="7" t="s">
        <v>16</v>
      </c>
      <c r="C22" s="10" t="s">
        <v>59</v>
      </c>
      <c r="D22" s="11" t="s">
        <v>60</v>
      </c>
      <c r="E22" s="12">
        <v>1</v>
      </c>
      <c r="F22" s="8">
        <v>0</v>
      </c>
      <c r="G22" s="8">
        <f t="shared" si="0"/>
        <v>0</v>
      </c>
      <c r="H22" s="8" t="s">
        <v>32</v>
      </c>
      <c r="I22" s="8">
        <v>1215</v>
      </c>
      <c r="J22" s="8" t="s">
        <v>20</v>
      </c>
      <c r="K22" s="8">
        <v>1072</v>
      </c>
      <c r="L22" s="8" t="s">
        <v>32</v>
      </c>
      <c r="M22" s="8">
        <v>4203</v>
      </c>
      <c r="N22" s="11" t="s">
        <v>25</v>
      </c>
    </row>
    <row r="23" s="1" customFormat="1" ht="33" customHeight="1" spans="1:14">
      <c r="A23" s="9">
        <v>376092</v>
      </c>
      <c r="B23" s="7" t="s">
        <v>16</v>
      </c>
      <c r="C23" s="10" t="s">
        <v>61</v>
      </c>
      <c r="D23" s="11" t="s">
        <v>62</v>
      </c>
      <c r="E23" s="12">
        <v>1</v>
      </c>
      <c r="F23" s="8">
        <v>0</v>
      </c>
      <c r="G23" s="8">
        <f t="shared" si="0"/>
        <v>0</v>
      </c>
      <c r="H23" s="8" t="s">
        <v>63</v>
      </c>
      <c r="I23" s="8">
        <v>1055</v>
      </c>
      <c r="J23" s="8" t="s">
        <v>20</v>
      </c>
      <c r="K23" s="8">
        <v>1072</v>
      </c>
      <c r="L23" s="8" t="s">
        <v>63</v>
      </c>
      <c r="M23" s="8">
        <v>4054</v>
      </c>
      <c r="N23" s="11" t="s">
        <v>64</v>
      </c>
    </row>
    <row r="24" s="1" customFormat="1" ht="33" customHeight="1" spans="1:14">
      <c r="A24" s="13">
        <v>376801</v>
      </c>
      <c r="B24" s="7" t="s">
        <v>16</v>
      </c>
      <c r="C24" s="10" t="s">
        <v>65</v>
      </c>
      <c r="D24" s="11" t="s">
        <v>66</v>
      </c>
      <c r="E24" s="12">
        <v>1</v>
      </c>
      <c r="F24" s="8">
        <v>0</v>
      </c>
      <c r="G24" s="8">
        <f t="shared" si="0"/>
        <v>0</v>
      </c>
      <c r="H24" s="8" t="s">
        <v>67</v>
      </c>
      <c r="I24" s="8">
        <v>1038</v>
      </c>
      <c r="J24" s="8" t="s">
        <v>20</v>
      </c>
      <c r="K24" s="8">
        <v>1072</v>
      </c>
      <c r="L24" s="8" t="s">
        <v>67</v>
      </c>
      <c r="M24" s="8">
        <v>4037</v>
      </c>
      <c r="N24" s="11" t="s">
        <v>25</v>
      </c>
    </row>
    <row r="25" s="1" customFormat="1" ht="33" customHeight="1" spans="1:14">
      <c r="A25" s="15"/>
      <c r="B25" s="7" t="s">
        <v>16</v>
      </c>
      <c r="C25" s="10" t="s">
        <v>68</v>
      </c>
      <c r="D25" s="11" t="s">
        <v>69</v>
      </c>
      <c r="E25" s="12">
        <v>1</v>
      </c>
      <c r="F25" s="8">
        <v>0</v>
      </c>
      <c r="G25" s="8">
        <f t="shared" si="0"/>
        <v>0</v>
      </c>
      <c r="H25" s="8" t="s">
        <v>67</v>
      </c>
      <c r="I25" s="8">
        <v>1038</v>
      </c>
      <c r="J25" s="8" t="s">
        <v>20</v>
      </c>
      <c r="K25" s="8">
        <v>1072</v>
      </c>
      <c r="L25" s="8" t="s">
        <v>67</v>
      </c>
      <c r="M25" s="8">
        <v>4037</v>
      </c>
      <c r="N25" s="11" t="s">
        <v>25</v>
      </c>
    </row>
    <row r="26" s="1" customFormat="1" ht="33" customHeight="1" spans="1:14">
      <c r="A26" s="9">
        <v>376980</v>
      </c>
      <c r="B26" s="7" t="s">
        <v>16</v>
      </c>
      <c r="C26" s="10" t="s">
        <v>70</v>
      </c>
      <c r="D26" s="11" t="s">
        <v>71</v>
      </c>
      <c r="E26" s="12">
        <v>1</v>
      </c>
      <c r="F26" s="8">
        <v>0</v>
      </c>
      <c r="G26" s="8">
        <f t="shared" si="0"/>
        <v>0</v>
      </c>
      <c r="H26" s="8" t="s">
        <v>72</v>
      </c>
      <c r="I26" s="8">
        <v>1030</v>
      </c>
      <c r="J26" s="8" t="s">
        <v>20</v>
      </c>
      <c r="K26" s="8">
        <v>1072</v>
      </c>
      <c r="L26" s="8" t="s">
        <v>72</v>
      </c>
      <c r="M26" s="8">
        <v>4029</v>
      </c>
      <c r="N26" s="11" t="s">
        <v>25</v>
      </c>
    </row>
    <row r="27" s="1" customFormat="1" ht="33" customHeight="1" spans="1:14">
      <c r="A27" s="9">
        <v>377357</v>
      </c>
      <c r="B27" s="7" t="s">
        <v>16</v>
      </c>
      <c r="C27" s="10" t="s">
        <v>73</v>
      </c>
      <c r="D27" s="11" t="s">
        <v>74</v>
      </c>
      <c r="E27" s="12">
        <v>1</v>
      </c>
      <c r="F27" s="8">
        <v>0</v>
      </c>
      <c r="G27" s="8">
        <f t="shared" si="0"/>
        <v>0</v>
      </c>
      <c r="H27" s="8" t="s">
        <v>75</v>
      </c>
      <c r="I27" s="8">
        <v>1057</v>
      </c>
      <c r="J27" s="8" t="s">
        <v>20</v>
      </c>
      <c r="K27" s="8">
        <v>1072</v>
      </c>
      <c r="L27" s="8" t="s">
        <v>75</v>
      </c>
      <c r="M27" s="8">
        <v>4056</v>
      </c>
      <c r="N27" s="11" t="s">
        <v>76</v>
      </c>
    </row>
    <row r="28" s="1" customFormat="1" ht="33" customHeight="1" spans="1:14">
      <c r="A28" s="9">
        <v>377398</v>
      </c>
      <c r="B28" s="7" t="s">
        <v>16</v>
      </c>
      <c r="C28" s="10" t="s">
        <v>77</v>
      </c>
      <c r="D28" s="11" t="s">
        <v>78</v>
      </c>
      <c r="E28" s="12">
        <v>4</v>
      </c>
      <c r="F28" s="8">
        <v>0</v>
      </c>
      <c r="G28" s="8">
        <f t="shared" si="0"/>
        <v>0</v>
      </c>
      <c r="H28" s="8" t="s">
        <v>79</v>
      </c>
      <c r="I28" s="8">
        <v>1051</v>
      </c>
      <c r="J28" s="8" t="s">
        <v>20</v>
      </c>
      <c r="K28" s="8">
        <v>1072</v>
      </c>
      <c r="L28" s="8" t="s">
        <v>79</v>
      </c>
      <c r="M28" s="8">
        <v>4050</v>
      </c>
      <c r="N28" s="11" t="s">
        <v>25</v>
      </c>
    </row>
    <row r="29" s="1" customFormat="1" ht="33" customHeight="1" spans="1:14">
      <c r="A29" s="13">
        <v>377428</v>
      </c>
      <c r="B29" s="7" t="s">
        <v>16</v>
      </c>
      <c r="C29" s="10" t="s">
        <v>43</v>
      </c>
      <c r="D29" s="11" t="s">
        <v>44</v>
      </c>
      <c r="E29" s="12">
        <v>4</v>
      </c>
      <c r="F29" s="8">
        <v>0</v>
      </c>
      <c r="G29" s="8">
        <f t="shared" si="0"/>
        <v>0</v>
      </c>
      <c r="H29" s="8" t="s">
        <v>80</v>
      </c>
      <c r="I29" s="8">
        <v>1103</v>
      </c>
      <c r="J29" s="8" t="s">
        <v>20</v>
      </c>
      <c r="K29" s="8">
        <v>1072</v>
      </c>
      <c r="L29" s="8" t="s">
        <v>80</v>
      </c>
      <c r="M29" s="8">
        <v>4113</v>
      </c>
      <c r="N29" s="11" t="s">
        <v>81</v>
      </c>
    </row>
    <row r="30" s="1" customFormat="1" ht="33" customHeight="1" spans="1:14">
      <c r="A30" s="14"/>
      <c r="B30" s="7" t="s">
        <v>16</v>
      </c>
      <c r="C30" s="10" t="s">
        <v>82</v>
      </c>
      <c r="D30" s="11" t="s">
        <v>83</v>
      </c>
      <c r="E30" s="12">
        <v>4</v>
      </c>
      <c r="F30" s="8">
        <v>0</v>
      </c>
      <c r="G30" s="8">
        <f t="shared" si="0"/>
        <v>0</v>
      </c>
      <c r="H30" s="8" t="s">
        <v>80</v>
      </c>
      <c r="I30" s="8">
        <v>1103</v>
      </c>
      <c r="J30" s="8" t="s">
        <v>20</v>
      </c>
      <c r="K30" s="8">
        <v>1072</v>
      </c>
      <c r="L30" s="8" t="s">
        <v>80</v>
      </c>
      <c r="M30" s="8">
        <v>4113</v>
      </c>
      <c r="N30" s="11" t="s">
        <v>81</v>
      </c>
    </row>
    <row r="31" s="1" customFormat="1" ht="33" customHeight="1" spans="1:14">
      <c r="A31" s="15"/>
      <c r="B31" s="7" t="s">
        <v>16</v>
      </c>
      <c r="C31" s="10" t="s">
        <v>84</v>
      </c>
      <c r="D31" s="11" t="s">
        <v>85</v>
      </c>
      <c r="E31" s="12">
        <v>1</v>
      </c>
      <c r="F31" s="8">
        <v>0</v>
      </c>
      <c r="G31" s="8">
        <f t="shared" si="0"/>
        <v>0</v>
      </c>
      <c r="H31" s="8" t="s">
        <v>80</v>
      </c>
      <c r="I31" s="8">
        <v>1103</v>
      </c>
      <c r="J31" s="8" t="s">
        <v>20</v>
      </c>
      <c r="K31" s="8">
        <v>1072</v>
      </c>
      <c r="L31" s="8" t="s">
        <v>80</v>
      </c>
      <c r="M31" s="8">
        <v>4113</v>
      </c>
      <c r="N31" s="11" t="s">
        <v>81</v>
      </c>
    </row>
    <row r="32" s="1" customFormat="1" ht="33" customHeight="1" spans="1:14">
      <c r="A32" s="13">
        <v>377531</v>
      </c>
      <c r="B32" s="7" t="s">
        <v>16</v>
      </c>
      <c r="C32" s="10" t="s">
        <v>86</v>
      </c>
      <c r="D32" s="11" t="s">
        <v>87</v>
      </c>
      <c r="E32" s="12">
        <v>1</v>
      </c>
      <c r="F32" s="8">
        <v>0</v>
      </c>
      <c r="G32" s="8">
        <f t="shared" si="0"/>
        <v>0</v>
      </c>
      <c r="H32" s="8" t="s">
        <v>88</v>
      </c>
      <c r="I32" s="8">
        <v>1058</v>
      </c>
      <c r="J32" s="8" t="s">
        <v>20</v>
      </c>
      <c r="K32" s="8">
        <v>1072</v>
      </c>
      <c r="L32" s="8" t="s">
        <v>88</v>
      </c>
      <c r="M32" s="8">
        <v>4057</v>
      </c>
      <c r="N32" s="11" t="s">
        <v>89</v>
      </c>
    </row>
    <row r="33" s="1" customFormat="1" ht="33" customHeight="1" spans="1:14">
      <c r="A33" s="14"/>
      <c r="B33" s="7" t="s">
        <v>16</v>
      </c>
      <c r="C33" s="10" t="s">
        <v>90</v>
      </c>
      <c r="D33" s="11" t="s">
        <v>91</v>
      </c>
      <c r="E33" s="12">
        <v>1</v>
      </c>
      <c r="F33" s="8">
        <v>0</v>
      </c>
      <c r="G33" s="8">
        <f t="shared" si="0"/>
        <v>0</v>
      </c>
      <c r="H33" s="8" t="s">
        <v>88</v>
      </c>
      <c r="I33" s="8">
        <v>1058</v>
      </c>
      <c r="J33" s="8" t="s">
        <v>20</v>
      </c>
      <c r="K33" s="8">
        <v>1072</v>
      </c>
      <c r="L33" s="8" t="s">
        <v>88</v>
      </c>
      <c r="M33" s="8">
        <v>4057</v>
      </c>
      <c r="N33" s="11" t="s">
        <v>89</v>
      </c>
    </row>
    <row r="34" s="1" customFormat="1" ht="33" customHeight="1" spans="1:14">
      <c r="A34" s="14"/>
      <c r="B34" s="7" t="s">
        <v>16</v>
      </c>
      <c r="C34" s="10" t="s">
        <v>92</v>
      </c>
      <c r="D34" s="11" t="s">
        <v>93</v>
      </c>
      <c r="E34" s="12">
        <v>1</v>
      </c>
      <c r="F34" s="8">
        <v>0</v>
      </c>
      <c r="G34" s="8">
        <f t="shared" si="0"/>
        <v>0</v>
      </c>
      <c r="H34" s="8" t="s">
        <v>88</v>
      </c>
      <c r="I34" s="8">
        <v>1058</v>
      </c>
      <c r="J34" s="8" t="s">
        <v>20</v>
      </c>
      <c r="K34" s="8">
        <v>1072</v>
      </c>
      <c r="L34" s="8" t="s">
        <v>88</v>
      </c>
      <c r="M34" s="8">
        <v>4057</v>
      </c>
      <c r="N34" s="11" t="s">
        <v>89</v>
      </c>
    </row>
    <row r="35" s="1" customFormat="1" ht="33" customHeight="1" spans="1:14">
      <c r="A35" s="15"/>
      <c r="B35" s="7" t="s">
        <v>16</v>
      </c>
      <c r="C35" s="10" t="s">
        <v>94</v>
      </c>
      <c r="D35" s="11" t="s">
        <v>95</v>
      </c>
      <c r="E35" s="12">
        <v>1</v>
      </c>
      <c r="F35" s="8">
        <v>0</v>
      </c>
      <c r="G35" s="8">
        <f t="shared" si="0"/>
        <v>0</v>
      </c>
      <c r="H35" s="8" t="s">
        <v>88</v>
      </c>
      <c r="I35" s="8">
        <v>1058</v>
      </c>
      <c r="J35" s="8" t="s">
        <v>20</v>
      </c>
      <c r="K35" s="8">
        <v>1072</v>
      </c>
      <c r="L35" s="8" t="s">
        <v>88</v>
      </c>
      <c r="M35" s="8">
        <v>4057</v>
      </c>
      <c r="N35" s="11" t="s">
        <v>89</v>
      </c>
    </row>
    <row r="36" s="1" customFormat="1" ht="33" customHeight="1" spans="1:14">
      <c r="A36" s="13">
        <v>377598</v>
      </c>
      <c r="B36" s="7" t="s">
        <v>16</v>
      </c>
      <c r="C36" s="10" t="s">
        <v>96</v>
      </c>
      <c r="D36" s="11" t="s">
        <v>97</v>
      </c>
      <c r="E36" s="12">
        <v>5</v>
      </c>
      <c r="F36" s="8">
        <v>0</v>
      </c>
      <c r="G36" s="8">
        <f t="shared" si="0"/>
        <v>0</v>
      </c>
      <c r="H36" s="8" t="s">
        <v>19</v>
      </c>
      <c r="I36" s="8">
        <v>1162</v>
      </c>
      <c r="J36" s="8" t="s">
        <v>20</v>
      </c>
      <c r="K36" s="8">
        <v>1072</v>
      </c>
      <c r="L36" s="8" t="s">
        <v>19</v>
      </c>
      <c r="M36" s="8">
        <v>4157</v>
      </c>
      <c r="N36" s="11" t="s">
        <v>98</v>
      </c>
    </row>
    <row r="37" s="1" customFormat="1" ht="33" customHeight="1" spans="1:14">
      <c r="A37" s="15"/>
      <c r="B37" s="7" t="s">
        <v>16</v>
      </c>
      <c r="C37" s="10" t="s">
        <v>28</v>
      </c>
      <c r="D37" s="11" t="s">
        <v>29</v>
      </c>
      <c r="E37" s="12">
        <v>1</v>
      </c>
      <c r="F37" s="8">
        <v>0</v>
      </c>
      <c r="G37" s="8">
        <f t="shared" si="0"/>
        <v>0</v>
      </c>
      <c r="H37" s="8" t="s">
        <v>19</v>
      </c>
      <c r="I37" s="8">
        <v>1162</v>
      </c>
      <c r="J37" s="8" t="s">
        <v>20</v>
      </c>
      <c r="K37" s="8">
        <v>1072</v>
      </c>
      <c r="L37" s="8" t="s">
        <v>19</v>
      </c>
      <c r="M37" s="8">
        <v>4157</v>
      </c>
      <c r="N37" s="11" t="s">
        <v>98</v>
      </c>
    </row>
    <row r="38" s="1" customFormat="1" ht="33" customHeight="1" spans="1:14">
      <c r="A38" s="13">
        <v>377709</v>
      </c>
      <c r="B38" s="7" t="s">
        <v>16</v>
      </c>
      <c r="C38" s="10" t="s">
        <v>99</v>
      </c>
      <c r="D38" s="11" t="s">
        <v>100</v>
      </c>
      <c r="E38" s="12">
        <v>1</v>
      </c>
      <c r="F38" s="8">
        <v>0</v>
      </c>
      <c r="G38" s="8">
        <f t="shared" si="0"/>
        <v>0</v>
      </c>
      <c r="H38" s="8" t="s">
        <v>101</v>
      </c>
      <c r="I38" s="8">
        <v>1040</v>
      </c>
      <c r="J38" s="8" t="s">
        <v>20</v>
      </c>
      <c r="K38" s="8">
        <v>1072</v>
      </c>
      <c r="L38" s="8" t="s">
        <v>101</v>
      </c>
      <c r="M38" s="8">
        <v>4039</v>
      </c>
      <c r="N38" s="11" t="s">
        <v>25</v>
      </c>
    </row>
    <row r="39" s="1" customFormat="1" ht="33" customHeight="1" spans="1:14">
      <c r="A39" s="14"/>
      <c r="B39" s="7" t="s">
        <v>16</v>
      </c>
      <c r="C39" s="10" t="s">
        <v>102</v>
      </c>
      <c r="D39" s="11" t="s">
        <v>103</v>
      </c>
      <c r="E39" s="12">
        <v>1</v>
      </c>
      <c r="F39" s="8">
        <v>0</v>
      </c>
      <c r="G39" s="8">
        <f t="shared" si="0"/>
        <v>0</v>
      </c>
      <c r="H39" s="8" t="s">
        <v>101</v>
      </c>
      <c r="I39" s="8">
        <v>1040</v>
      </c>
      <c r="J39" s="8" t="s">
        <v>20</v>
      </c>
      <c r="K39" s="8">
        <v>1072</v>
      </c>
      <c r="L39" s="8" t="s">
        <v>101</v>
      </c>
      <c r="M39" s="8">
        <v>4039</v>
      </c>
      <c r="N39" s="11" t="s">
        <v>25</v>
      </c>
    </row>
    <row r="40" s="1" customFormat="1" ht="33" customHeight="1" spans="1:14">
      <c r="A40" s="15"/>
      <c r="B40" s="7" t="s">
        <v>16</v>
      </c>
      <c r="C40" s="10" t="s">
        <v>104</v>
      </c>
      <c r="D40" s="11" t="s">
        <v>105</v>
      </c>
      <c r="E40" s="12">
        <v>1</v>
      </c>
      <c r="F40" s="8">
        <v>0</v>
      </c>
      <c r="G40" s="8">
        <f t="shared" si="0"/>
        <v>0</v>
      </c>
      <c r="H40" s="8" t="s">
        <v>101</v>
      </c>
      <c r="I40" s="8">
        <v>1040</v>
      </c>
      <c r="J40" s="8" t="s">
        <v>20</v>
      </c>
      <c r="K40" s="8">
        <v>1072</v>
      </c>
      <c r="L40" s="8" t="s">
        <v>101</v>
      </c>
      <c r="M40" s="8">
        <v>4039</v>
      </c>
      <c r="N40" s="11" t="s">
        <v>25</v>
      </c>
    </row>
    <row r="41" s="1" customFormat="1" ht="33" customHeight="1" spans="1:14">
      <c r="A41" s="13">
        <v>377823</v>
      </c>
      <c r="B41" s="7" t="s">
        <v>16</v>
      </c>
      <c r="C41" s="10" t="s">
        <v>106</v>
      </c>
      <c r="D41" s="11" t="s">
        <v>107</v>
      </c>
      <c r="E41" s="12">
        <v>4</v>
      </c>
      <c r="F41" s="8">
        <v>0</v>
      </c>
      <c r="G41" s="8">
        <f t="shared" ref="G41:G64" si="1">E41*F41</f>
        <v>0</v>
      </c>
      <c r="H41" s="8" t="s">
        <v>108</v>
      </c>
      <c r="I41" s="8">
        <v>1132</v>
      </c>
      <c r="J41" s="8" t="s">
        <v>20</v>
      </c>
      <c r="K41" s="8">
        <v>1072</v>
      </c>
      <c r="L41" s="8" t="s">
        <v>108</v>
      </c>
      <c r="M41" s="8">
        <v>4127</v>
      </c>
      <c r="N41" s="11" t="s">
        <v>25</v>
      </c>
    </row>
    <row r="42" s="1" customFormat="1" ht="33" customHeight="1" spans="1:14">
      <c r="A42" s="14"/>
      <c r="B42" s="7" t="s">
        <v>16</v>
      </c>
      <c r="C42" s="10" t="s">
        <v>109</v>
      </c>
      <c r="D42" s="11" t="s">
        <v>110</v>
      </c>
      <c r="E42" s="12">
        <v>1</v>
      </c>
      <c r="F42" s="8">
        <v>0</v>
      </c>
      <c r="G42" s="8">
        <f t="shared" si="1"/>
        <v>0</v>
      </c>
      <c r="H42" s="8" t="s">
        <v>108</v>
      </c>
      <c r="I42" s="8">
        <v>1132</v>
      </c>
      <c r="J42" s="8" t="s">
        <v>20</v>
      </c>
      <c r="K42" s="8">
        <v>1072</v>
      </c>
      <c r="L42" s="8" t="s">
        <v>108</v>
      </c>
      <c r="M42" s="8">
        <v>4127</v>
      </c>
      <c r="N42" s="11" t="s">
        <v>25</v>
      </c>
    </row>
    <row r="43" s="1" customFormat="1" ht="33" customHeight="1" spans="1:14">
      <c r="A43" s="14"/>
      <c r="B43" s="7" t="s">
        <v>16</v>
      </c>
      <c r="C43" s="10" t="s">
        <v>111</v>
      </c>
      <c r="D43" s="11" t="s">
        <v>112</v>
      </c>
      <c r="E43" s="12">
        <v>1</v>
      </c>
      <c r="F43" s="8">
        <v>0</v>
      </c>
      <c r="G43" s="8">
        <f t="shared" si="1"/>
        <v>0</v>
      </c>
      <c r="H43" s="8" t="s">
        <v>108</v>
      </c>
      <c r="I43" s="8">
        <v>1132</v>
      </c>
      <c r="J43" s="8" t="s">
        <v>20</v>
      </c>
      <c r="K43" s="8">
        <v>1072</v>
      </c>
      <c r="L43" s="8" t="s">
        <v>108</v>
      </c>
      <c r="M43" s="8">
        <v>4127</v>
      </c>
      <c r="N43" s="11" t="s">
        <v>25</v>
      </c>
    </row>
    <row r="44" s="1" customFormat="1" ht="33" customHeight="1" spans="1:14">
      <c r="A44" s="15"/>
      <c r="B44" s="7" t="s">
        <v>16</v>
      </c>
      <c r="C44" s="10" t="s">
        <v>113</v>
      </c>
      <c r="D44" s="11" t="s">
        <v>114</v>
      </c>
      <c r="E44" s="12">
        <v>1</v>
      </c>
      <c r="F44" s="8">
        <v>0</v>
      </c>
      <c r="G44" s="8">
        <f t="shared" si="1"/>
        <v>0</v>
      </c>
      <c r="H44" s="8" t="s">
        <v>108</v>
      </c>
      <c r="I44" s="8">
        <v>1132</v>
      </c>
      <c r="J44" s="8" t="s">
        <v>20</v>
      </c>
      <c r="K44" s="8">
        <v>1072</v>
      </c>
      <c r="L44" s="8" t="s">
        <v>108</v>
      </c>
      <c r="M44" s="8">
        <v>4127</v>
      </c>
      <c r="N44" s="11" t="s">
        <v>25</v>
      </c>
    </row>
    <row r="45" s="1" customFormat="1" ht="33" customHeight="1" spans="1:14">
      <c r="A45" s="13">
        <v>377927</v>
      </c>
      <c r="B45" s="7" t="s">
        <v>16</v>
      </c>
      <c r="C45" s="10" t="s">
        <v>115</v>
      </c>
      <c r="D45" s="11" t="s">
        <v>116</v>
      </c>
      <c r="E45" s="12">
        <v>1</v>
      </c>
      <c r="F45" s="8">
        <v>0</v>
      </c>
      <c r="G45" s="8">
        <f t="shared" si="1"/>
        <v>0</v>
      </c>
      <c r="H45" s="8" t="s">
        <v>117</v>
      </c>
      <c r="I45" s="8">
        <v>1059</v>
      </c>
      <c r="J45" s="8" t="s">
        <v>20</v>
      </c>
      <c r="K45" s="8">
        <v>1072</v>
      </c>
      <c r="L45" s="8" t="s">
        <v>117</v>
      </c>
      <c r="M45" s="8">
        <v>4058</v>
      </c>
      <c r="N45" s="11" t="s">
        <v>25</v>
      </c>
    </row>
    <row r="46" s="1" customFormat="1" ht="33" customHeight="1" spans="1:14">
      <c r="A46" s="15"/>
      <c r="B46" s="7" t="s">
        <v>16</v>
      </c>
      <c r="C46" s="10" t="s">
        <v>118</v>
      </c>
      <c r="D46" s="11" t="s">
        <v>119</v>
      </c>
      <c r="E46" s="12">
        <v>2</v>
      </c>
      <c r="F46" s="8">
        <v>0</v>
      </c>
      <c r="G46" s="8">
        <f t="shared" si="1"/>
        <v>0</v>
      </c>
      <c r="H46" s="8" t="s">
        <v>117</v>
      </c>
      <c r="I46" s="8">
        <v>1059</v>
      </c>
      <c r="J46" s="8" t="s">
        <v>20</v>
      </c>
      <c r="K46" s="8">
        <v>1072</v>
      </c>
      <c r="L46" s="8" t="s">
        <v>117</v>
      </c>
      <c r="M46" s="8">
        <v>4058</v>
      </c>
      <c r="N46" s="11" t="s">
        <v>25</v>
      </c>
    </row>
    <row r="47" s="1" customFormat="1" ht="33" customHeight="1" spans="1:14">
      <c r="A47" s="9">
        <v>378149</v>
      </c>
      <c r="B47" s="7" t="s">
        <v>16</v>
      </c>
      <c r="C47" s="10" t="s">
        <v>120</v>
      </c>
      <c r="D47" s="11" t="s">
        <v>121</v>
      </c>
      <c r="E47" s="12">
        <v>1</v>
      </c>
      <c r="F47" s="8">
        <v>0</v>
      </c>
      <c r="G47" s="8">
        <f t="shared" si="1"/>
        <v>0</v>
      </c>
      <c r="H47" s="8" t="s">
        <v>122</v>
      </c>
      <c r="I47" s="8">
        <v>1048</v>
      </c>
      <c r="J47" s="8" t="s">
        <v>20</v>
      </c>
      <c r="K47" s="8">
        <v>1072</v>
      </c>
      <c r="L47" s="8" t="s">
        <v>122</v>
      </c>
      <c r="M47" s="8">
        <v>4047</v>
      </c>
      <c r="N47" s="11" t="s">
        <v>25</v>
      </c>
    </row>
    <row r="48" s="1" customFormat="1" ht="33" customHeight="1" spans="1:14">
      <c r="A48" s="9">
        <v>378193</v>
      </c>
      <c r="B48" s="7" t="s">
        <v>16</v>
      </c>
      <c r="C48" s="10" t="s">
        <v>123</v>
      </c>
      <c r="D48" s="11" t="s">
        <v>124</v>
      </c>
      <c r="E48" s="12">
        <v>1</v>
      </c>
      <c r="F48" s="8">
        <v>0</v>
      </c>
      <c r="G48" s="8">
        <f t="shared" si="1"/>
        <v>0</v>
      </c>
      <c r="H48" s="8" t="s">
        <v>125</v>
      </c>
      <c r="I48" s="8">
        <v>1032</v>
      </c>
      <c r="J48" s="8" t="s">
        <v>20</v>
      </c>
      <c r="K48" s="8">
        <v>1072</v>
      </c>
      <c r="L48" s="8" t="s">
        <v>125</v>
      </c>
      <c r="M48" s="8">
        <v>4031</v>
      </c>
      <c r="N48" s="11" t="s">
        <v>25</v>
      </c>
    </row>
    <row r="49" s="1" customFormat="1" ht="33" customHeight="1" spans="1:14">
      <c r="A49" s="9">
        <v>378277</v>
      </c>
      <c r="B49" s="7" t="s">
        <v>16</v>
      </c>
      <c r="C49" s="10" t="s">
        <v>126</v>
      </c>
      <c r="D49" s="11" t="s">
        <v>127</v>
      </c>
      <c r="E49" s="12">
        <v>2</v>
      </c>
      <c r="F49" s="8">
        <v>0</v>
      </c>
      <c r="G49" s="8">
        <f t="shared" si="1"/>
        <v>0</v>
      </c>
      <c r="H49" s="8" t="s">
        <v>72</v>
      </c>
      <c r="I49" s="8">
        <v>1030</v>
      </c>
      <c r="J49" s="8" t="s">
        <v>20</v>
      </c>
      <c r="K49" s="8">
        <v>1072</v>
      </c>
      <c r="L49" s="8" t="s">
        <v>72</v>
      </c>
      <c r="M49" s="8">
        <v>4029</v>
      </c>
      <c r="N49" s="11" t="s">
        <v>25</v>
      </c>
    </row>
    <row r="50" s="1" customFormat="1" ht="33" customHeight="1" spans="1:14">
      <c r="A50" s="9">
        <v>378327</v>
      </c>
      <c r="B50" s="7" t="s">
        <v>16</v>
      </c>
      <c r="C50" s="10" t="s">
        <v>128</v>
      </c>
      <c r="D50" s="11" t="s">
        <v>129</v>
      </c>
      <c r="E50" s="12">
        <v>2</v>
      </c>
      <c r="F50" s="8">
        <v>0</v>
      </c>
      <c r="G50" s="8">
        <f t="shared" si="1"/>
        <v>0</v>
      </c>
      <c r="H50" s="8" t="s">
        <v>130</v>
      </c>
      <c r="I50" s="8">
        <v>1034</v>
      </c>
      <c r="J50" s="8" t="s">
        <v>20</v>
      </c>
      <c r="K50" s="8">
        <v>1072</v>
      </c>
      <c r="L50" s="8" t="s">
        <v>130</v>
      </c>
      <c r="M50" s="8">
        <v>4033</v>
      </c>
      <c r="N50" s="11" t="s">
        <v>25</v>
      </c>
    </row>
    <row r="51" s="1" customFormat="1" ht="33" customHeight="1" spans="1:14">
      <c r="A51" s="9">
        <v>378429</v>
      </c>
      <c r="B51" s="7" t="s">
        <v>16</v>
      </c>
      <c r="C51" s="10" t="s">
        <v>131</v>
      </c>
      <c r="D51" s="11" t="s">
        <v>132</v>
      </c>
      <c r="E51" s="12">
        <v>5</v>
      </c>
      <c r="F51" s="8">
        <v>0</v>
      </c>
      <c r="G51" s="8">
        <f t="shared" si="1"/>
        <v>0</v>
      </c>
      <c r="H51" s="8" t="s">
        <v>101</v>
      </c>
      <c r="I51" s="8">
        <v>1040</v>
      </c>
      <c r="J51" s="8" t="s">
        <v>20</v>
      </c>
      <c r="K51" s="8">
        <v>1072</v>
      </c>
      <c r="L51" s="8" t="s">
        <v>101</v>
      </c>
      <c r="M51" s="8">
        <v>4039</v>
      </c>
      <c r="N51" s="11" t="s">
        <v>25</v>
      </c>
    </row>
    <row r="52" s="1" customFormat="1" ht="33" customHeight="1" spans="1:14">
      <c r="A52" s="9">
        <v>378539</v>
      </c>
      <c r="B52" s="7" t="s">
        <v>16</v>
      </c>
      <c r="C52" s="10" t="s">
        <v>133</v>
      </c>
      <c r="D52" s="11" t="s">
        <v>134</v>
      </c>
      <c r="E52" s="12">
        <v>1</v>
      </c>
      <c r="F52" s="8">
        <v>0</v>
      </c>
      <c r="G52" s="8">
        <f t="shared" si="1"/>
        <v>0</v>
      </c>
      <c r="H52" s="8" t="s">
        <v>135</v>
      </c>
      <c r="I52" s="8">
        <v>1039</v>
      </c>
      <c r="J52" s="8" t="s">
        <v>20</v>
      </c>
      <c r="K52" s="8">
        <v>1072</v>
      </c>
      <c r="L52" s="8" t="s">
        <v>135</v>
      </c>
      <c r="M52" s="8">
        <v>4038</v>
      </c>
      <c r="N52" s="11" t="s">
        <v>136</v>
      </c>
    </row>
    <row r="53" s="1" customFormat="1" ht="33" customHeight="1" spans="1:14">
      <c r="A53" s="13">
        <v>378541</v>
      </c>
      <c r="B53" s="7" t="s">
        <v>16</v>
      </c>
      <c r="C53" s="10" t="s">
        <v>137</v>
      </c>
      <c r="D53" s="11" t="s">
        <v>138</v>
      </c>
      <c r="E53" s="12">
        <v>1</v>
      </c>
      <c r="F53" s="8">
        <v>0</v>
      </c>
      <c r="G53" s="8">
        <f t="shared" si="1"/>
        <v>0</v>
      </c>
      <c r="H53" s="8" t="s">
        <v>139</v>
      </c>
      <c r="I53" s="8">
        <v>1219</v>
      </c>
      <c r="J53" s="8" t="s">
        <v>20</v>
      </c>
      <c r="K53" s="8">
        <v>1072</v>
      </c>
      <c r="L53" s="8" t="s">
        <v>139</v>
      </c>
      <c r="M53" s="8">
        <v>4207</v>
      </c>
      <c r="N53" s="11" t="s">
        <v>140</v>
      </c>
    </row>
    <row r="54" s="1" customFormat="1" ht="33" customHeight="1" spans="1:14">
      <c r="A54" s="15"/>
      <c r="B54" s="7" t="s">
        <v>16</v>
      </c>
      <c r="C54" s="10" t="s">
        <v>141</v>
      </c>
      <c r="D54" s="11" t="s">
        <v>142</v>
      </c>
      <c r="E54" s="12">
        <v>1</v>
      </c>
      <c r="F54" s="8">
        <v>0</v>
      </c>
      <c r="G54" s="8">
        <f t="shared" si="1"/>
        <v>0</v>
      </c>
      <c r="H54" s="8" t="s">
        <v>139</v>
      </c>
      <c r="I54" s="8">
        <v>1219</v>
      </c>
      <c r="J54" s="8" t="s">
        <v>20</v>
      </c>
      <c r="K54" s="8">
        <v>1072</v>
      </c>
      <c r="L54" s="8" t="s">
        <v>139</v>
      </c>
      <c r="M54" s="8">
        <v>4207</v>
      </c>
      <c r="N54" s="11" t="s">
        <v>140</v>
      </c>
    </row>
    <row r="55" s="1" customFormat="1" ht="33" customHeight="1" spans="1:14">
      <c r="A55" s="9">
        <v>378603</v>
      </c>
      <c r="B55" s="7" t="s">
        <v>16</v>
      </c>
      <c r="C55" s="10" t="s">
        <v>143</v>
      </c>
      <c r="D55" s="11" t="s">
        <v>144</v>
      </c>
      <c r="E55" s="12">
        <v>1</v>
      </c>
      <c r="F55" s="8">
        <v>0</v>
      </c>
      <c r="G55" s="8">
        <f t="shared" si="1"/>
        <v>0</v>
      </c>
      <c r="H55" s="8" t="s">
        <v>145</v>
      </c>
      <c r="I55" s="8">
        <v>1056</v>
      </c>
      <c r="J55" s="8" t="s">
        <v>20</v>
      </c>
      <c r="K55" s="8">
        <v>1072</v>
      </c>
      <c r="L55" s="8" t="s">
        <v>145</v>
      </c>
      <c r="M55" s="8">
        <v>4055</v>
      </c>
      <c r="N55" s="11" t="s">
        <v>146</v>
      </c>
    </row>
    <row r="56" s="1" customFormat="1" ht="33" customHeight="1" spans="1:14">
      <c r="A56" s="9">
        <v>378622</v>
      </c>
      <c r="B56" s="7" t="s">
        <v>16</v>
      </c>
      <c r="C56" s="10" t="s">
        <v>143</v>
      </c>
      <c r="D56" s="11" t="s">
        <v>144</v>
      </c>
      <c r="E56" s="12">
        <v>1</v>
      </c>
      <c r="F56" s="8">
        <v>0</v>
      </c>
      <c r="G56" s="8">
        <f t="shared" si="1"/>
        <v>0</v>
      </c>
      <c r="H56" s="8" t="s">
        <v>145</v>
      </c>
      <c r="I56" s="8">
        <v>1056</v>
      </c>
      <c r="J56" s="8" t="s">
        <v>20</v>
      </c>
      <c r="K56" s="8">
        <v>1072</v>
      </c>
      <c r="L56" s="8" t="s">
        <v>145</v>
      </c>
      <c r="M56" s="8">
        <v>4055</v>
      </c>
      <c r="N56" s="11" t="s">
        <v>146</v>
      </c>
    </row>
    <row r="57" s="1" customFormat="1" ht="33" customHeight="1" spans="1:14">
      <c r="A57" s="9">
        <v>378626</v>
      </c>
      <c r="B57" s="7" t="s">
        <v>16</v>
      </c>
      <c r="C57" s="10" t="s">
        <v>147</v>
      </c>
      <c r="D57" s="11" t="s">
        <v>148</v>
      </c>
      <c r="E57" s="12">
        <v>1</v>
      </c>
      <c r="F57" s="8">
        <v>0</v>
      </c>
      <c r="G57" s="8">
        <f t="shared" si="1"/>
        <v>0</v>
      </c>
      <c r="H57" s="8" t="s">
        <v>149</v>
      </c>
      <c r="I57" s="8">
        <v>1049</v>
      </c>
      <c r="J57" s="8" t="s">
        <v>20</v>
      </c>
      <c r="K57" s="8">
        <v>1072</v>
      </c>
      <c r="L57" s="8" t="s">
        <v>149</v>
      </c>
      <c r="M57" s="8">
        <v>4048</v>
      </c>
      <c r="N57" s="11" t="s">
        <v>25</v>
      </c>
    </row>
    <row r="58" s="1" customFormat="1" ht="33" customHeight="1" spans="1:14">
      <c r="A58" s="9">
        <v>378631</v>
      </c>
      <c r="B58" s="7" t="s">
        <v>16</v>
      </c>
      <c r="C58" s="10" t="s">
        <v>150</v>
      </c>
      <c r="D58" s="11" t="s">
        <v>151</v>
      </c>
      <c r="E58" s="12">
        <v>1</v>
      </c>
      <c r="F58" s="8">
        <v>0</v>
      </c>
      <c r="G58" s="8">
        <f t="shared" si="1"/>
        <v>0</v>
      </c>
      <c r="H58" s="8" t="s">
        <v>152</v>
      </c>
      <c r="I58" s="8">
        <v>1029</v>
      </c>
      <c r="J58" s="8" t="s">
        <v>20</v>
      </c>
      <c r="K58" s="8">
        <v>1072</v>
      </c>
      <c r="L58" s="8" t="s">
        <v>152</v>
      </c>
      <c r="M58" s="8">
        <v>4028</v>
      </c>
      <c r="N58" s="11" t="s">
        <v>25</v>
      </c>
    </row>
    <row r="59" s="1" customFormat="1" ht="33" customHeight="1" spans="1:14">
      <c r="A59" s="9">
        <v>378633</v>
      </c>
      <c r="B59" s="7" t="s">
        <v>16</v>
      </c>
      <c r="C59" s="10" t="s">
        <v>153</v>
      </c>
      <c r="D59" s="11" t="s">
        <v>154</v>
      </c>
      <c r="E59" s="12">
        <v>1</v>
      </c>
      <c r="F59" s="8">
        <v>0</v>
      </c>
      <c r="G59" s="8">
        <f t="shared" si="1"/>
        <v>0</v>
      </c>
      <c r="H59" s="8" t="s">
        <v>155</v>
      </c>
      <c r="I59" s="8">
        <v>1036</v>
      </c>
      <c r="J59" s="8" t="s">
        <v>20</v>
      </c>
      <c r="K59" s="8">
        <v>1072</v>
      </c>
      <c r="L59" s="8" t="s">
        <v>155</v>
      </c>
      <c r="M59" s="8">
        <v>4035</v>
      </c>
      <c r="N59" s="11" t="s">
        <v>25</v>
      </c>
    </row>
    <row r="60" s="1" customFormat="1" ht="33" customHeight="1" spans="1:14">
      <c r="A60" s="13">
        <v>378640</v>
      </c>
      <c r="B60" s="7" t="s">
        <v>16</v>
      </c>
      <c r="C60" s="10" t="s">
        <v>156</v>
      </c>
      <c r="D60" s="11" t="s">
        <v>157</v>
      </c>
      <c r="E60" s="12">
        <v>1</v>
      </c>
      <c r="F60" s="8">
        <v>0</v>
      </c>
      <c r="G60" s="8">
        <f t="shared" si="1"/>
        <v>0</v>
      </c>
      <c r="H60" s="8" t="s">
        <v>158</v>
      </c>
      <c r="I60" s="8">
        <v>1109</v>
      </c>
      <c r="J60" s="8" t="s">
        <v>20</v>
      </c>
      <c r="K60" s="8">
        <v>1072</v>
      </c>
      <c r="L60" s="8" t="s">
        <v>158</v>
      </c>
      <c r="M60" s="8">
        <v>4116</v>
      </c>
      <c r="N60" s="11" t="s">
        <v>25</v>
      </c>
    </row>
    <row r="61" s="1" customFormat="1" ht="33" customHeight="1" spans="1:14">
      <c r="A61" s="14"/>
      <c r="B61" s="7" t="s">
        <v>16</v>
      </c>
      <c r="C61" s="10" t="s">
        <v>159</v>
      </c>
      <c r="D61" s="11" t="s">
        <v>160</v>
      </c>
      <c r="E61" s="12">
        <v>1</v>
      </c>
      <c r="F61" s="8">
        <v>0</v>
      </c>
      <c r="G61" s="8">
        <f t="shared" si="1"/>
        <v>0</v>
      </c>
      <c r="H61" s="8" t="s">
        <v>158</v>
      </c>
      <c r="I61" s="8">
        <v>1109</v>
      </c>
      <c r="J61" s="8" t="s">
        <v>20</v>
      </c>
      <c r="K61" s="8">
        <v>1072</v>
      </c>
      <c r="L61" s="8" t="s">
        <v>158</v>
      </c>
      <c r="M61" s="8">
        <v>4116</v>
      </c>
      <c r="N61" s="11" t="s">
        <v>25</v>
      </c>
    </row>
    <row r="62" s="1" customFormat="1" ht="33" customHeight="1" spans="1:14">
      <c r="A62" s="14"/>
      <c r="B62" s="7" t="s">
        <v>16</v>
      </c>
      <c r="C62" s="10" t="s">
        <v>161</v>
      </c>
      <c r="D62" s="11" t="s">
        <v>162</v>
      </c>
      <c r="E62" s="12">
        <v>1</v>
      </c>
      <c r="F62" s="8">
        <v>0</v>
      </c>
      <c r="G62" s="8">
        <f t="shared" si="1"/>
        <v>0</v>
      </c>
      <c r="H62" s="8" t="s">
        <v>158</v>
      </c>
      <c r="I62" s="8">
        <v>1109</v>
      </c>
      <c r="J62" s="8" t="s">
        <v>20</v>
      </c>
      <c r="K62" s="8">
        <v>1072</v>
      </c>
      <c r="L62" s="8" t="s">
        <v>158</v>
      </c>
      <c r="M62" s="8">
        <v>4116</v>
      </c>
      <c r="N62" s="11" t="s">
        <v>25</v>
      </c>
    </row>
    <row r="63" s="1" customFormat="1" ht="33" customHeight="1" spans="1:14">
      <c r="A63" s="14"/>
      <c r="B63" s="7" t="s">
        <v>16</v>
      </c>
      <c r="C63" s="10" t="s">
        <v>163</v>
      </c>
      <c r="D63" s="11" t="s">
        <v>164</v>
      </c>
      <c r="E63" s="12">
        <v>1</v>
      </c>
      <c r="F63" s="8">
        <v>0</v>
      </c>
      <c r="G63" s="8">
        <f t="shared" si="1"/>
        <v>0</v>
      </c>
      <c r="H63" s="8" t="s">
        <v>158</v>
      </c>
      <c r="I63" s="8">
        <v>1109</v>
      </c>
      <c r="J63" s="8" t="s">
        <v>20</v>
      </c>
      <c r="K63" s="8">
        <v>1072</v>
      </c>
      <c r="L63" s="8" t="s">
        <v>158</v>
      </c>
      <c r="M63" s="8">
        <v>4116</v>
      </c>
      <c r="N63" s="11" t="s">
        <v>25</v>
      </c>
    </row>
    <row r="64" s="1" customFormat="1" ht="33" customHeight="1" spans="1:14">
      <c r="A64" s="14"/>
      <c r="B64" s="7" t="s">
        <v>16</v>
      </c>
      <c r="C64" s="10" t="s">
        <v>165</v>
      </c>
      <c r="D64" s="11" t="s">
        <v>166</v>
      </c>
      <c r="E64" s="12">
        <v>4</v>
      </c>
      <c r="F64" s="8">
        <v>0</v>
      </c>
      <c r="G64" s="8">
        <f t="shared" si="1"/>
        <v>0</v>
      </c>
      <c r="H64" s="8" t="s">
        <v>158</v>
      </c>
      <c r="I64" s="8">
        <v>1109</v>
      </c>
      <c r="J64" s="8" t="s">
        <v>20</v>
      </c>
      <c r="K64" s="8">
        <v>1072</v>
      </c>
      <c r="L64" s="8" t="s">
        <v>158</v>
      </c>
      <c r="M64" s="8">
        <v>4116</v>
      </c>
      <c r="N64" s="11" t="s">
        <v>25</v>
      </c>
    </row>
    <row r="65" s="1" customFormat="1" ht="33" customHeight="1" spans="1:14">
      <c r="A65" s="14"/>
      <c r="B65" s="7" t="s">
        <v>16</v>
      </c>
      <c r="C65" s="10" t="s">
        <v>167</v>
      </c>
      <c r="D65" s="11" t="s">
        <v>168</v>
      </c>
      <c r="E65" s="12">
        <v>3</v>
      </c>
      <c r="F65" s="8">
        <v>0</v>
      </c>
      <c r="G65" s="8">
        <f t="shared" ref="G65:G83" si="2">E65*F65</f>
        <v>0</v>
      </c>
      <c r="H65" s="8" t="s">
        <v>158</v>
      </c>
      <c r="I65" s="8">
        <v>1109</v>
      </c>
      <c r="J65" s="8" t="s">
        <v>20</v>
      </c>
      <c r="K65" s="8">
        <v>1072</v>
      </c>
      <c r="L65" s="8" t="s">
        <v>158</v>
      </c>
      <c r="M65" s="8">
        <v>4116</v>
      </c>
      <c r="N65" s="11" t="s">
        <v>25</v>
      </c>
    </row>
    <row r="66" s="1" customFormat="1" ht="33" customHeight="1" spans="1:14">
      <c r="A66" s="14"/>
      <c r="B66" s="7" t="s">
        <v>16</v>
      </c>
      <c r="C66" s="10" t="s">
        <v>169</v>
      </c>
      <c r="D66" s="11" t="s">
        <v>170</v>
      </c>
      <c r="E66" s="12">
        <v>7</v>
      </c>
      <c r="F66" s="8">
        <v>0</v>
      </c>
      <c r="G66" s="8">
        <f t="shared" si="2"/>
        <v>0</v>
      </c>
      <c r="H66" s="8" t="s">
        <v>158</v>
      </c>
      <c r="I66" s="8">
        <v>1109</v>
      </c>
      <c r="J66" s="8" t="s">
        <v>20</v>
      </c>
      <c r="K66" s="8">
        <v>1072</v>
      </c>
      <c r="L66" s="8" t="s">
        <v>158</v>
      </c>
      <c r="M66" s="8">
        <v>4116</v>
      </c>
      <c r="N66" s="11" t="s">
        <v>25</v>
      </c>
    </row>
    <row r="67" s="1" customFormat="1" ht="33" customHeight="1" spans="1:14">
      <c r="A67" s="14"/>
      <c r="B67" s="7" t="s">
        <v>16</v>
      </c>
      <c r="C67" s="10" t="s">
        <v>171</v>
      </c>
      <c r="D67" s="11" t="s">
        <v>172</v>
      </c>
      <c r="E67" s="12">
        <v>1</v>
      </c>
      <c r="F67" s="8">
        <v>0</v>
      </c>
      <c r="G67" s="8">
        <f t="shared" si="2"/>
        <v>0</v>
      </c>
      <c r="H67" s="8" t="s">
        <v>158</v>
      </c>
      <c r="I67" s="8">
        <v>1109</v>
      </c>
      <c r="J67" s="8" t="s">
        <v>20</v>
      </c>
      <c r="K67" s="8">
        <v>1072</v>
      </c>
      <c r="L67" s="8" t="s">
        <v>158</v>
      </c>
      <c r="M67" s="8">
        <v>4116</v>
      </c>
      <c r="N67" s="11" t="s">
        <v>25</v>
      </c>
    </row>
    <row r="68" s="1" customFormat="1" ht="33" customHeight="1" spans="1:14">
      <c r="A68" s="14"/>
      <c r="B68" s="7" t="s">
        <v>16</v>
      </c>
      <c r="C68" s="10" t="s">
        <v>173</v>
      </c>
      <c r="D68" s="11" t="s">
        <v>174</v>
      </c>
      <c r="E68" s="12">
        <v>1</v>
      </c>
      <c r="F68" s="8">
        <v>0</v>
      </c>
      <c r="G68" s="8">
        <f t="shared" si="2"/>
        <v>0</v>
      </c>
      <c r="H68" s="8" t="s">
        <v>158</v>
      </c>
      <c r="I68" s="8">
        <v>1109</v>
      </c>
      <c r="J68" s="8" t="s">
        <v>20</v>
      </c>
      <c r="K68" s="8">
        <v>1072</v>
      </c>
      <c r="L68" s="8" t="s">
        <v>158</v>
      </c>
      <c r="M68" s="8">
        <v>4116</v>
      </c>
      <c r="N68" s="11" t="s">
        <v>25</v>
      </c>
    </row>
    <row r="69" s="1" customFormat="1" ht="33" customHeight="1" spans="1:14">
      <c r="A69" s="14"/>
      <c r="B69" s="7" t="s">
        <v>16</v>
      </c>
      <c r="C69" s="10" t="s">
        <v>175</v>
      </c>
      <c r="D69" s="11" t="s">
        <v>176</v>
      </c>
      <c r="E69" s="12">
        <v>1</v>
      </c>
      <c r="F69" s="8">
        <v>0</v>
      </c>
      <c r="G69" s="8">
        <f t="shared" si="2"/>
        <v>0</v>
      </c>
      <c r="H69" s="8" t="s">
        <v>158</v>
      </c>
      <c r="I69" s="8">
        <v>1109</v>
      </c>
      <c r="J69" s="8" t="s">
        <v>20</v>
      </c>
      <c r="K69" s="8">
        <v>1072</v>
      </c>
      <c r="L69" s="8" t="s">
        <v>158</v>
      </c>
      <c r="M69" s="8">
        <v>4116</v>
      </c>
      <c r="N69" s="11" t="s">
        <v>25</v>
      </c>
    </row>
    <row r="70" s="1" customFormat="1" ht="33" customHeight="1" spans="1:14">
      <c r="A70" s="14"/>
      <c r="B70" s="7" t="s">
        <v>16</v>
      </c>
      <c r="C70" s="10" t="s">
        <v>177</v>
      </c>
      <c r="D70" s="11" t="s">
        <v>178</v>
      </c>
      <c r="E70" s="12">
        <v>1</v>
      </c>
      <c r="F70" s="8">
        <v>0</v>
      </c>
      <c r="G70" s="8">
        <f t="shared" si="2"/>
        <v>0</v>
      </c>
      <c r="H70" s="8" t="s">
        <v>158</v>
      </c>
      <c r="I70" s="8">
        <v>1109</v>
      </c>
      <c r="J70" s="8" t="s">
        <v>20</v>
      </c>
      <c r="K70" s="8">
        <v>1072</v>
      </c>
      <c r="L70" s="8" t="s">
        <v>158</v>
      </c>
      <c r="M70" s="8">
        <v>4116</v>
      </c>
      <c r="N70" s="11" t="s">
        <v>25</v>
      </c>
    </row>
    <row r="71" s="1" customFormat="1" ht="33" customHeight="1" spans="1:14">
      <c r="A71" s="15"/>
      <c r="B71" s="7" t="s">
        <v>16</v>
      </c>
      <c r="C71" s="10" t="s">
        <v>179</v>
      </c>
      <c r="D71" s="11" t="s">
        <v>180</v>
      </c>
      <c r="E71" s="12">
        <v>1</v>
      </c>
      <c r="F71" s="8">
        <v>0</v>
      </c>
      <c r="G71" s="8">
        <f t="shared" si="2"/>
        <v>0</v>
      </c>
      <c r="H71" s="8" t="s">
        <v>158</v>
      </c>
      <c r="I71" s="8">
        <v>1109</v>
      </c>
      <c r="J71" s="8" t="s">
        <v>20</v>
      </c>
      <c r="K71" s="8">
        <v>1072</v>
      </c>
      <c r="L71" s="8" t="s">
        <v>158</v>
      </c>
      <c r="M71" s="8">
        <v>4116</v>
      </c>
      <c r="N71" s="11" t="s">
        <v>25</v>
      </c>
    </row>
    <row r="72" s="1" customFormat="1" ht="33" customHeight="1" spans="1:14">
      <c r="A72" s="9">
        <v>378643</v>
      </c>
      <c r="B72" s="7" t="s">
        <v>16</v>
      </c>
      <c r="C72" s="10" t="s">
        <v>181</v>
      </c>
      <c r="D72" s="11" t="s">
        <v>182</v>
      </c>
      <c r="E72" s="12">
        <v>1</v>
      </c>
      <c r="F72" s="8">
        <v>0</v>
      </c>
      <c r="G72" s="8">
        <f t="shared" si="2"/>
        <v>0</v>
      </c>
      <c r="H72" s="8" t="s">
        <v>183</v>
      </c>
      <c r="I72" s="8">
        <v>1155</v>
      </c>
      <c r="J72" s="8" t="s">
        <v>20</v>
      </c>
      <c r="K72" s="8">
        <v>1072</v>
      </c>
      <c r="L72" s="8" t="s">
        <v>183</v>
      </c>
      <c r="M72" s="8">
        <v>4150</v>
      </c>
      <c r="N72" s="11" t="s">
        <v>25</v>
      </c>
    </row>
    <row r="73" s="1" customFormat="1" ht="33" customHeight="1" spans="1:14">
      <c r="A73" s="9">
        <v>378666</v>
      </c>
      <c r="B73" s="7" t="s">
        <v>16</v>
      </c>
      <c r="C73" s="10" t="s">
        <v>175</v>
      </c>
      <c r="D73" s="11" t="s">
        <v>176</v>
      </c>
      <c r="E73" s="12">
        <v>1</v>
      </c>
      <c r="F73" s="8">
        <v>0</v>
      </c>
      <c r="G73" s="8">
        <f t="shared" si="2"/>
        <v>0</v>
      </c>
      <c r="H73" s="8" t="s">
        <v>135</v>
      </c>
      <c r="I73" s="8">
        <v>1039</v>
      </c>
      <c r="J73" s="8" t="s">
        <v>20</v>
      </c>
      <c r="K73" s="8">
        <v>1072</v>
      </c>
      <c r="L73" s="8" t="s">
        <v>135</v>
      </c>
      <c r="M73" s="8">
        <v>4038</v>
      </c>
      <c r="N73" s="11" t="s">
        <v>184</v>
      </c>
    </row>
    <row r="74" s="1" customFormat="1" ht="33" customHeight="1" spans="1:14">
      <c r="A74" s="13">
        <v>378693</v>
      </c>
      <c r="B74" s="7" t="s">
        <v>16</v>
      </c>
      <c r="C74" s="10" t="s">
        <v>181</v>
      </c>
      <c r="D74" s="11" t="s">
        <v>182</v>
      </c>
      <c r="E74" s="12">
        <v>2</v>
      </c>
      <c r="F74" s="8">
        <v>0</v>
      </c>
      <c r="G74" s="8">
        <f t="shared" si="2"/>
        <v>0</v>
      </c>
      <c r="H74" s="8" t="s">
        <v>185</v>
      </c>
      <c r="I74" s="8">
        <v>1033</v>
      </c>
      <c r="J74" s="8" t="s">
        <v>20</v>
      </c>
      <c r="K74" s="8">
        <v>1072</v>
      </c>
      <c r="L74" s="8" t="s">
        <v>185</v>
      </c>
      <c r="M74" s="8">
        <v>4032</v>
      </c>
      <c r="N74" s="11" t="s">
        <v>186</v>
      </c>
    </row>
    <row r="75" s="1" customFormat="1" ht="33" customHeight="1" spans="1:14">
      <c r="A75" s="15"/>
      <c r="B75" s="7" t="s">
        <v>16</v>
      </c>
      <c r="C75" s="10" t="s">
        <v>187</v>
      </c>
      <c r="D75" s="11" t="s">
        <v>188</v>
      </c>
      <c r="E75" s="12">
        <v>1</v>
      </c>
      <c r="F75" s="8">
        <v>0</v>
      </c>
      <c r="G75" s="8">
        <f t="shared" si="2"/>
        <v>0</v>
      </c>
      <c r="H75" s="8" t="s">
        <v>185</v>
      </c>
      <c r="I75" s="8">
        <v>1033</v>
      </c>
      <c r="J75" s="8" t="s">
        <v>20</v>
      </c>
      <c r="K75" s="8">
        <v>1072</v>
      </c>
      <c r="L75" s="8" t="s">
        <v>185</v>
      </c>
      <c r="M75" s="8">
        <v>4032</v>
      </c>
      <c r="N75" s="11" t="s">
        <v>186</v>
      </c>
    </row>
    <row r="76" s="1" customFormat="1" ht="33" customHeight="1" spans="1:14">
      <c r="A76" s="9">
        <v>378896</v>
      </c>
      <c r="B76" s="7" t="s">
        <v>16</v>
      </c>
      <c r="C76" s="10" t="s">
        <v>189</v>
      </c>
      <c r="D76" s="11" t="s">
        <v>190</v>
      </c>
      <c r="E76" s="12">
        <v>1</v>
      </c>
      <c r="F76" s="8">
        <v>0</v>
      </c>
      <c r="G76" s="8">
        <f t="shared" si="2"/>
        <v>0</v>
      </c>
      <c r="H76" s="8" t="s">
        <v>72</v>
      </c>
      <c r="I76" s="8">
        <v>1030</v>
      </c>
      <c r="J76" s="8" t="s">
        <v>20</v>
      </c>
      <c r="K76" s="8">
        <v>1072</v>
      </c>
      <c r="L76" s="8" t="s">
        <v>72</v>
      </c>
      <c r="M76" s="8">
        <v>4029</v>
      </c>
      <c r="N76" s="11" t="s">
        <v>184</v>
      </c>
    </row>
    <row r="77" s="1" customFormat="1" ht="33" customHeight="1" spans="1:14">
      <c r="A77" s="14">
        <v>374301</v>
      </c>
      <c r="B77" s="7" t="s">
        <v>16</v>
      </c>
      <c r="C77" s="10" t="s">
        <v>191</v>
      </c>
      <c r="D77" s="11" t="s">
        <v>192</v>
      </c>
      <c r="E77" s="12">
        <v>2</v>
      </c>
      <c r="F77" s="8">
        <v>0</v>
      </c>
      <c r="G77" s="8">
        <f t="shared" si="2"/>
        <v>0</v>
      </c>
      <c r="H77" s="8" t="s">
        <v>193</v>
      </c>
      <c r="I77" s="8">
        <v>1233</v>
      </c>
      <c r="J77" s="8" t="s">
        <v>20</v>
      </c>
      <c r="K77" s="8">
        <v>1072</v>
      </c>
      <c r="L77" s="8" t="s">
        <v>193</v>
      </c>
      <c r="M77" s="8">
        <v>4218</v>
      </c>
      <c r="N77" s="11" t="s">
        <v>25</v>
      </c>
    </row>
    <row r="78" s="1" customFormat="1" ht="33" customHeight="1" spans="1:14">
      <c r="A78" s="15"/>
      <c r="B78" s="7" t="s">
        <v>16</v>
      </c>
      <c r="C78" s="10" t="s">
        <v>194</v>
      </c>
      <c r="D78" s="11" t="s">
        <v>195</v>
      </c>
      <c r="E78" s="12">
        <v>1</v>
      </c>
      <c r="F78" s="8">
        <v>0</v>
      </c>
      <c r="G78" s="8">
        <f t="shared" si="2"/>
        <v>0</v>
      </c>
      <c r="H78" s="8" t="s">
        <v>193</v>
      </c>
      <c r="I78" s="8">
        <v>1233</v>
      </c>
      <c r="J78" s="8" t="s">
        <v>20</v>
      </c>
      <c r="K78" s="8">
        <v>1072</v>
      </c>
      <c r="L78" s="8" t="s">
        <v>193</v>
      </c>
      <c r="M78" s="8">
        <v>4218</v>
      </c>
      <c r="N78" s="11" t="s">
        <v>25</v>
      </c>
    </row>
    <row r="79" s="1" customFormat="1" ht="33" customHeight="1" spans="1:14">
      <c r="A79" s="15">
        <v>378762</v>
      </c>
      <c r="B79" s="7" t="s">
        <v>16</v>
      </c>
      <c r="C79" s="10" t="s">
        <v>196</v>
      </c>
      <c r="D79" s="11" t="s">
        <v>197</v>
      </c>
      <c r="E79" s="12">
        <v>1</v>
      </c>
      <c r="F79" s="8">
        <v>0</v>
      </c>
      <c r="G79" s="8">
        <f t="shared" si="2"/>
        <v>0</v>
      </c>
      <c r="H79" s="8" t="s">
        <v>193</v>
      </c>
      <c r="I79" s="8">
        <v>1233</v>
      </c>
      <c r="J79" s="8" t="s">
        <v>20</v>
      </c>
      <c r="K79" s="8">
        <v>1072</v>
      </c>
      <c r="L79" s="8" t="s">
        <v>193</v>
      </c>
      <c r="M79" s="8">
        <v>4218</v>
      </c>
      <c r="N79" s="11" t="s">
        <v>198</v>
      </c>
    </row>
    <row r="80" s="1" customFormat="1" ht="33" customHeight="1" spans="1:14">
      <c r="A80" s="15">
        <v>378707</v>
      </c>
      <c r="B80" s="7" t="s">
        <v>16</v>
      </c>
      <c r="C80" s="10" t="s">
        <v>118</v>
      </c>
      <c r="D80" s="11" t="s">
        <v>119</v>
      </c>
      <c r="E80" s="12">
        <v>2</v>
      </c>
      <c r="F80" s="8">
        <v>0</v>
      </c>
      <c r="G80" s="8">
        <f t="shared" si="2"/>
        <v>0</v>
      </c>
      <c r="H80" s="8" t="s">
        <v>72</v>
      </c>
      <c r="I80" s="8">
        <v>1030</v>
      </c>
      <c r="J80" s="8" t="s">
        <v>20</v>
      </c>
      <c r="K80" s="8">
        <v>1072</v>
      </c>
      <c r="L80" s="8" t="s">
        <v>72</v>
      </c>
      <c r="M80" s="8">
        <v>4029</v>
      </c>
      <c r="N80" s="11" t="s">
        <v>199</v>
      </c>
    </row>
    <row r="81" s="2" customFormat="1" ht="51" customHeight="1" spans="1:14">
      <c r="A81" s="7"/>
      <c r="B81" s="7"/>
      <c r="C81" s="7" t="s">
        <v>200</v>
      </c>
      <c r="D81" s="17" t="s">
        <v>201</v>
      </c>
      <c r="E81" s="17"/>
      <c r="F81" s="17"/>
      <c r="G81" s="17"/>
      <c r="H81" s="17"/>
      <c r="I81" s="17"/>
      <c r="J81" s="17"/>
      <c r="K81" s="17"/>
      <c r="L81" s="17"/>
      <c r="M81" s="17"/>
      <c r="N81" s="18"/>
    </row>
    <row r="82" s="2" customFormat="1" ht="33" customHeight="1" spans="1:14">
      <c r="A82" s="7"/>
      <c r="B82" s="7"/>
      <c r="C82" s="7"/>
      <c r="D82" s="17" t="s">
        <v>202</v>
      </c>
      <c r="E82" s="17"/>
      <c r="F82" s="17"/>
      <c r="G82" s="17"/>
      <c r="H82" s="17"/>
      <c r="I82" s="17"/>
      <c r="J82" s="17"/>
      <c r="K82" s="17"/>
      <c r="L82" s="17"/>
      <c r="M82" s="17"/>
      <c r="N82" s="18"/>
    </row>
    <row r="83" s="2" customFormat="1" customHeight="1" spans="1:14">
      <c r="A83" s="6" t="s">
        <v>203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</sheetData>
  <autoFilter xmlns:etc="http://www.wps.cn/officeDocument/2017/etCustomData" ref="A3:N79" etc:filterBottomFollowUsedRange="0">
    <extLst/>
  </autoFilter>
  <mergeCells count="18">
    <mergeCell ref="A1:N1"/>
    <mergeCell ref="A2:N2"/>
    <mergeCell ref="D81:G81"/>
    <mergeCell ref="D82:G82"/>
    <mergeCell ref="A83:N83"/>
    <mergeCell ref="A5:A7"/>
    <mergeCell ref="A8:A22"/>
    <mergeCell ref="A24:A25"/>
    <mergeCell ref="A29:A31"/>
    <mergeCell ref="A32:A35"/>
    <mergeCell ref="A36:A37"/>
    <mergeCell ref="A38:A40"/>
    <mergeCell ref="A41:A44"/>
    <mergeCell ref="A45:A46"/>
    <mergeCell ref="A53:A54"/>
    <mergeCell ref="A60:A71"/>
    <mergeCell ref="A74:A75"/>
    <mergeCell ref="A77:A78"/>
  </mergeCells>
  <printOptions horizontalCentered="1"/>
  <pageMargins left="0.751388888888889" right="0.751388888888889" top="1" bottom="1" header="0.511805555555556" footer="0.511805555555556"/>
  <pageSetup paperSize="9" scale="8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售后三包出库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  ping</cp:lastModifiedBy>
  <dcterms:created xsi:type="dcterms:W3CDTF">2018-09-03T08:22:00Z</dcterms:created>
  <dcterms:modified xsi:type="dcterms:W3CDTF">2025-11-06T06:00:58Z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KSOReadingLayout">
    <vt:bool>true</vt:bool>
  </property>
  <property fmtid="{D5CDD505-2E9C-101B-9397-08002B2CF9AE}" pid="4" name="ICV">
    <vt:lpwstr>CBD1F13B4E94422E91976EB46A9B4D3C_13</vt:lpwstr>
  </property>
</Properties>
</file>