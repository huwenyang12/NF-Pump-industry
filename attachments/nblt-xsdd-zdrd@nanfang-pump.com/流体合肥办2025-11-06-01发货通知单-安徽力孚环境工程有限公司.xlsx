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  <definedName name="_xlnm.Print_Area" localSheetId="0">Sheet!$A$1:$J$11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<sst xmlns="http://schemas.openxmlformats.org/spreadsheetml/2006/main" count="22" uniqueCount="22">
  <si>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2025年11月06日订单    流体合肥办20251106001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</si>
  <si>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</si>
  <si>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</si>
  <si>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</si>
  <si>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</si>
  <si>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</si>
  <si>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</si>
  <si>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</si>
  <si>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</si>
  <si>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</si>
  <si>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</si>
  <si>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</si>
  <si>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流体合肥办20251106001</t>
  </si>
  <si>
    <t>安徽力孚环境工程有限公司</t>
  </si>
  <si>
    <t>机封|SZ50-32-160F26(WG)</t>
  </si>
  <si>
    <t>顺丰快递/ 青海省/海西蒙古族藏族自治州/格尔木市/ ，建兴巷，明珠花苑斜对面快递驿站（哈西亚图住格办事处/宋家顺/19955278327</t>
  </si>
  <si>
    <t>叶轮|SZ50-32-160F26(WG)</t>
  </si>
  <si>
    <t>合同号：NB2522848</t>
  </si>
  <si>
    <t>是否安装调试验收</t>
  </si>
  <si>
    <t xml:space="preserve">备注1： </t>
  </si>
  <si>
    <t>N</t>
  </si>
  <si>
    <r>
      <t>备注2</t>
    </r>
    <r>
      <rPr>
        <sz val="18"/>
        <color rgb="FFFF0000"/>
        <rFont val="微软雅黑"/>
        <charset val="134"/>
      </rPr>
      <t>：</t>
    </r>
    <r>
      <rPr>
        <b/>
        <sz val="18"/>
        <color rgb="FFFF0000"/>
        <rFont val="微软雅黑"/>
        <charset val="134"/>
      </rPr>
      <t>附发货清单，有异地委托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</si>
</sst>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b/>
      <sz val="18"/>
      <color theme="1"/>
      <name val="楷体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sz val="12"/>
      <color rgb="FFFF0000"/>
      <name val="微软雅黑"/>
      <charset val="134"/>
    </font>
    <font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8"/>
      <color rgb="FFFF0000"/>
      <name val="微软雅黑"/>
      <charset val="134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31" fontId="7" fillId="0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31" fontId="10" fillId="0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8"/>
  <sheetViews>
    <sheetView tabSelected="1" view="pageBreakPreview" zoomScale="80" zoomScaleNormal="100" workbookViewId="0">
      <selection activeCell="E6" sqref="E6"/>
    </sheetView>
  </sheetViews>
  <sheetFormatPr defaultColWidth="9" defaultRowHeight="30" customHeight="1"/>
  <cols>
    <col min="1" max="1" width="38.275" style="3" customWidth="1"/>
    <col min="2" max="2" width="32.4416666666667" style="3" customWidth="1"/>
    <col min="3" max="3" width="20.3166666666667" style="3" customWidth="1"/>
    <col min="4" max="4" width="42.9666666666667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18.5583333333333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1500161050</v>
      </c>
      <c r="D4" s="11" t="s">
        <v>14</v>
      </c>
      <c r="E4" s="11">
        <v>3900</v>
      </c>
      <c r="F4" s="11">
        <v>1</v>
      </c>
      <c r="G4" s="11">
        <v>185</v>
      </c>
      <c r="H4" s="12">
        <f>F4*G4</f>
        <v>185</v>
      </c>
      <c r="I4" s="13">
        <v>45972</v>
      </c>
      <c r="J4" s="9" t="s">
        <v>15</v>
      </c>
    </row>
    <row r="5" s="1" customFormat="1" ht="27" customHeight="1" spans="1:10">
      <c r="A5" s="8"/>
      <c r="B5" s="9"/>
      <c r="C5" s="10">
        <v>1400228717</v>
      </c>
      <c r="D5" s="11" t="s">
        <v>16</v>
      </c>
      <c r="E5" s="11">
        <v>3900</v>
      </c>
      <c r="F5" s="11">
        <v>1</v>
      </c>
      <c r="G5" s="11">
        <v>655</v>
      </c>
      <c r="H5" s="12">
        <f>F5*G5</f>
        <v>655</v>
      </c>
      <c r="I5" s="13">
        <v>45972</v>
      </c>
      <c r="J5" s="9"/>
    </row>
    <row r="6" s="1" customFormat="1" ht="34.95" customHeight="1" spans="1:10">
      <c r="A6" s="8"/>
      <c r="B6" s="9"/>
      <c r="C6" s="14"/>
      <c r="D6" s="15"/>
      <c r="E6" s="16"/>
      <c r="F6" s="16"/>
      <c r="G6" s="16"/>
      <c r="H6" s="12"/>
      <c r="I6" s="17"/>
      <c r="J6" s="18"/>
    </row>
    <row r="7" s="1" customFormat="1" ht="34.95" customHeight="1" spans="1:10">
      <c r="A7" s="8"/>
      <c r="B7" s="9"/>
      <c r="C7" s="14"/>
      <c r="D7" s="15"/>
      <c r="E7" s="16"/>
      <c r="F7" s="16"/>
      <c r="G7" s="16"/>
      <c r="H7" s="12"/>
      <c r="I7" s="17"/>
      <c r="J7" s="18"/>
    </row>
    <row r="8" s="1" customFormat="1" ht="34.95" customHeight="1" spans="1:10">
      <c r="A8" s="8"/>
      <c r="B8" s="9"/>
      <c r="C8" s="19"/>
      <c r="D8" s="20"/>
      <c r="E8" s="21"/>
      <c r="F8" s="21"/>
      <c r="G8" s="21"/>
      <c r="H8" s="21"/>
      <c r="I8" s="22"/>
      <c r="J8" s="18"/>
    </row>
    <row r="9" s="1" customFormat="1" ht="34.95" customHeight="1" spans="1:10">
      <c r="A9" s="23"/>
      <c r="B9" s="24"/>
      <c r="C9" s="25"/>
      <c r="D9" s="21"/>
      <c r="E9" s="21"/>
      <c r="F9" s="26">
        <f>SUM(F4:F7)</f>
        <v>2</v>
      </c>
      <c r="G9" s="26"/>
      <c r="H9" s="12">
        <f>SUM(H4:H8)</f>
        <v>840</v>
      </c>
      <c r="I9" s="22"/>
      <c r="J9" s="18"/>
    </row>
    <row r="10" s="2" customFormat="1" ht="37.05" customHeight="1" spans="1:10">
      <c r="A10" s="27" t="s">
        <v>17</v>
      </c>
      <c r="B10" s="27"/>
      <c r="C10" s="27" t="s">
        <v>18</v>
      </c>
      <c r="D10" s="28" t="s">
        <v>19</v>
      </c>
      <c r="E10" s="28"/>
      <c r="F10" s="28"/>
      <c r="G10" s="28"/>
      <c r="H10" s="28"/>
      <c r="I10" s="28"/>
      <c r="J10" s="7"/>
    </row>
    <row r="11" s="2" customFormat="1" ht="33" customHeight="1" spans="1:10">
      <c r="A11" s="27"/>
      <c r="B11" s="27"/>
      <c r="C11" s="29" t="s">
        <v>20</v>
      </c>
      <c r="D11" s="27" t="s">
        <v>21</v>
      </c>
      <c r="E11" s="27"/>
      <c r="F11" s="27"/>
      <c r="G11" s="27"/>
      <c r="H11" s="27"/>
      <c r="I11" s="27"/>
      <c r="J11" s="7"/>
    </row>
    <row r="18" customHeight="1" spans="4:4">
      <c r="D18" s="30"/>
    </row>
  </sheetData>
  <mergeCells count="9">
    <mergeCell ref="A1:J1"/>
    <mergeCell ref="A2:J2"/>
    <mergeCell ref="D10:I10"/>
    <mergeCell ref="D11:I11"/>
    <mergeCell ref="A4:A9"/>
    <mergeCell ref="B4:B9"/>
    <mergeCell ref="J4:J9"/>
    <mergeCell ref="J10:J11"/>
    <mergeCell ref="A10:B11"/>
  </mergeCells>
  <printOptions horizontalCentered="1"/>
  <pageMargins left="0.751388888888889" right="0.751388888888889" top="1" bottom="1" header="0.511805555555556" footer="0.511805555555556"/>
  <pageSetup paperSize="9" scale="5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微信用户</cp:lastModifiedBy>
  <dcterms:created xsi:type="dcterms:W3CDTF">2018-09-03T08:22:00Z</dcterms:created>
  <dcterms:modified xsi:type="dcterms:W3CDTF">2025-11-06T02:01:50Z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