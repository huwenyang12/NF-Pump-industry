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<sst xmlns="http://schemas.openxmlformats.org/spreadsheetml/2006/main" count="22" uniqueCount="22">
  <si>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杭泵杭州办2025112601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</si>
  <si>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>洪霞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13616551827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</si>
  <si>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</si>
  <si>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</si>
  <si>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</si>
  <si>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</si>
  <si>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</si>
  <si>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</si>
  <si>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</si>
  <si>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</si>
  <si>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</si>
  <si>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</si>
  <si>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杭泵杭州办2025112601</t>
  </si>
  <si>
    <t>杭州江柔环境科技有限公司</t>
  </si>
  <si>
    <t>CDLF42-20FSWSC</t>
  </si>
  <si>
    <t>送货/潘小华/15907139919/湖北省/武汉市/东湖区柏泉农场五环路与张柏公路交汇处杜公湖东光工业园</t>
  </si>
  <si>
    <t>CHL20-30LSWSC</t>
  </si>
  <si>
    <t>合同号：H8888888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</si>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</sst>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9"/>
      <color rgb="FF000000"/>
      <name val="simhei"/>
      <charset val="134"/>
    </font>
    <font>
      <b/>
      <sz val="18"/>
      <color theme="1"/>
      <name val="微软雅黑"/>
      <charset val="134"/>
    </font>
    <font>
      <sz val="12"/>
      <color rgb="FF00B050"/>
      <name val="微软雅黑"/>
      <charset val="134"/>
    </font>
    <font>
      <sz val="12"/>
      <color rgb="FF000000"/>
      <name val="simhei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31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 wrapText="1"/>
    </xf>
    <xf numFmtId="31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SheetLayoutView="87" workbookViewId="0">
      <selection activeCell="B10" sqref="B10"/>
    </sheetView>
  </sheetViews>
  <sheetFormatPr defaultColWidth="9" defaultRowHeight="30" customHeight="1"/>
  <cols>
    <col min="1" max="1" width="27.625" style="1" customWidth="1"/>
    <col min="2" max="2" width="38.625" style="1" customWidth="1"/>
    <col min="3" max="3" width="20.12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44.5" style="1" customWidth="1"/>
    <col min="11" max="16384" width="9" style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customHeight="1" spans="1:10">
      <c r="A4" s="6" t="s">
        <v>12</v>
      </c>
      <c r="B4" s="7" t="s">
        <v>13</v>
      </c>
      <c r="C4" s="8">
        <v>1100282985</v>
      </c>
      <c r="D4" s="9" t="s">
        <v>14</v>
      </c>
      <c r="E4" s="10">
        <v>3900</v>
      </c>
      <c r="F4" s="7">
        <v>1</v>
      </c>
      <c r="G4" s="7">
        <v>4547</v>
      </c>
      <c r="H4" s="6">
        <f t="shared" ref="H4:H6" si="0">F4*G4</f>
        <v>4547</v>
      </c>
      <c r="I4" s="11">
        <v>45990</v>
      </c>
      <c r="J4" s="7" t="s">
        <v>15</v>
      </c>
    </row>
    <row r="5" customHeight="1" spans="1:10">
      <c r="A5" s="6"/>
      <c r="B5" s="7"/>
      <c r="C5" s="12">
        <v>1100284896</v>
      </c>
      <c r="D5" s="9" t="s">
        <v>16</v>
      </c>
      <c r="E5" s="10">
        <v>3900</v>
      </c>
      <c r="F5" s="7">
        <v>1</v>
      </c>
      <c r="G5" s="7">
        <v>2029</v>
      </c>
      <c r="H5" s="6">
        <f>F5*G5</f>
        <v>2029</v>
      </c>
      <c r="I5" s="11">
        <v>45990</v>
      </c>
      <c r="J5" s="7"/>
    </row>
    <row r="6" customHeight="1" spans="1:10">
      <c r="A6" s="6"/>
      <c r="B6" s="7"/>
      <c r="C6" s="13"/>
      <c r="D6" s="9"/>
      <c r="E6" s="10"/>
      <c r="F6" s="7"/>
      <c r="G6" s="7"/>
      <c r="H6" s="6"/>
      <c r="I6" s="11"/>
      <c r="J6" s="7"/>
    </row>
    <row r="7" customHeight="1" spans="1:10">
      <c r="A7" s="6"/>
      <c r="B7" s="7"/>
      <c r="C7" s="5"/>
      <c r="D7" s="5"/>
      <c r="E7" s="5"/>
      <c r="F7" s="7">
        <f>SUM(F4:F6)</f>
        <v>2</v>
      </c>
      <c r="G7" s="7"/>
      <c r="H7" s="6">
        <f>SUM(H4:H6)</f>
        <v>6576</v>
      </c>
      <c r="I7" s="14"/>
      <c r="J7" s="15"/>
    </row>
    <row r="8" customHeight="1" spans="1:10">
      <c r="A8" s="15" t="s">
        <v>17</v>
      </c>
      <c r="B8" s="15"/>
      <c r="C8" s="15" t="s">
        <v>18</v>
      </c>
      <c r="D8" s="15" t="s">
        <v>19</v>
      </c>
      <c r="E8" s="15"/>
      <c r="F8" s="15"/>
      <c r="G8" s="15"/>
      <c r="H8" s="15"/>
      <c r="I8" s="15"/>
      <c r="J8" s="5"/>
    </row>
    <row r="9" customHeight="1" spans="1:10">
      <c r="A9" s="15"/>
      <c r="B9" s="15"/>
      <c r="C9" s="7" t="s">
        <v>20</v>
      </c>
      <c r="D9" s="15" t="s">
        <v>21</v>
      </c>
      <c r="E9" s="15"/>
      <c r="F9" s="15"/>
      <c r="G9" s="15"/>
      <c r="H9" s="15"/>
      <c r="I9" s="15"/>
      <c r="J9" s="5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刘金辉</cp:lastModifiedBy>
  <dcterms:created xsi:type="dcterms:W3CDTF">2018-09-03T08:22:00Z</dcterms:created>
  <dcterms:modified xsi:type="dcterms:W3CDTF">2025-11-26T02:04:24Z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