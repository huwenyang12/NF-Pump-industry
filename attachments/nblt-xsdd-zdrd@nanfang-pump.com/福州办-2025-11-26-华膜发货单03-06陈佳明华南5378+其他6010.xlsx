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255" tabRatio="180"/>
  </bookViews>
  <sheets>
    <sheet name="Sheet" sheetId="82" r:id="rId1"/>
  </sheets>
  <definedNames>
    <definedName name="_xlnm.Print_Area" localSheetId="0">Sheet!$A$1:$J$2</definedName>
    <definedName name="_xlnm._FilterDatabase" localSheetId="0" hidden="1">Sheet!#REF!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<sst xmlns="http://schemas.openxmlformats.org/spreadsheetml/2006/main" count="80" uniqueCount="37">
  <si>
    <r>
      <t xml:space="preserve">              杭州南泵流体机械 发货通知单   </t>
    </r>
    <r>
      <rPr>
        <b/>
        <sz val="16"/>
        <color rgb="FFFF0000"/>
        <rFont val="宋体"/>
        <charset val="134"/>
        <scheme val="minor"/>
      </rPr>
      <t xml:space="preserve"> 2025年11月26日订单  杭泵福州办20251126003</t>
    </r>
  </si>
  <si>
    <r>
      <rPr>
        <b/>
        <sz val="16"/>
        <rFont val="宋体"/>
        <charset val="134"/>
        <scheme val="minor"/>
      </rPr>
      <t>发件人：</t>
    </r>
    <r>
      <rPr>
        <b/>
        <sz val="16"/>
        <color rgb="FFFF0000"/>
        <rFont val="宋体"/>
        <charset val="134"/>
        <scheme val="minor"/>
      </rPr>
      <t xml:space="preserve">徐然 </t>
    </r>
    <r>
      <rPr>
        <b/>
        <sz val="16"/>
        <rFont val="宋体"/>
        <charset val="134"/>
        <scheme val="minor"/>
      </rPr>
      <t xml:space="preserve"> 联系电话：</t>
    </r>
    <r>
      <rPr>
        <b/>
        <sz val="16"/>
        <color rgb="FFFF0000"/>
        <rFont val="宋体"/>
        <charset val="134"/>
        <scheme val="minor"/>
      </rPr>
      <t>135*******</t>
    </r>
    <r>
      <rPr>
        <b/>
        <sz val="16"/>
        <rFont val="宋体"/>
        <charset val="134"/>
        <scheme val="minor"/>
      </rPr>
      <t xml:space="preserve">  收件工厂：</t>
    </r>
    <r>
      <rPr>
        <b/>
        <sz val="16"/>
        <color rgb="FFFF0000"/>
        <rFont val="宋体"/>
        <charset val="134"/>
        <scheme val="minor"/>
      </rPr>
      <t>杭州南泵</t>
    </r>
  </si>
  <si>
    <t>编号</t>
  </si>
  <si>
    <t>客户名称</t>
  </si>
  <si>
    <t>物料号</t>
  </si>
  <si>
    <t>水 泵 型 号</t>
  </si>
  <si>
    <t>工厂</t>
  </si>
  <si>
    <t>数量</t>
  </si>
  <si>
    <t>单 价</t>
  </si>
  <si>
    <t>金 额</t>
  </si>
  <si>
    <t>交期</t>
  </si>
  <si>
    <r>
      <rPr>
        <b/>
        <sz val="16"/>
        <rFont val="微软雅黑"/>
        <charset val="134"/>
      </rPr>
      <t>收货人信息</t>
    </r>
    <r>
      <rPr>
        <b/>
        <sz val="16"/>
        <color rgb="FF00B0F0"/>
        <rFont val="微软雅黑"/>
        <charset val="134"/>
      </rPr>
      <t>（斜杠必须要有）</t>
    </r>
  </si>
  <si>
    <t>杭泵福州办2025-11-26-003</t>
  </si>
  <si>
    <t>深圳美固环保设备有限公司</t>
  </si>
  <si>
    <t>ZS65-50-125/4.0SSC</t>
  </si>
  <si>
    <t>物流送货/广东省/深圳市/龙岗区/爱南路187号育诚半导体/阙总/15919895304</t>
  </si>
  <si>
    <t>合同号：H*****</t>
  </si>
  <si>
    <t>是否安装调试验收</t>
  </si>
  <si>
    <t>备注1：</t>
  </si>
  <si>
    <t>Y/N（是填"Y"否填"N"）</t>
  </si>
  <si>
    <t>备注2：现货发</t>
  </si>
  <si>
    <t>杭泵福州办2025-11-26-004</t>
  </si>
  <si>
    <t>福州华膜环保设备有限公司</t>
  </si>
  <si>
    <t>CHL12-30LSWSC</t>
  </si>
  <si>
    <t>物流送货/广东省/惠州市/惠城区/下角梅湖江南大道 州楚信铭玮实业有限公司（卡夫特旁新金马家具制造有限公司一楼办公室）/毕/13652778014</t>
  </si>
  <si>
    <t>CHL20-20LSWSC</t>
  </si>
  <si>
    <t>备注2：加急</t>
  </si>
  <si>
    <t>杭泵福州办2025-11-26-005</t>
  </si>
  <si>
    <t>常州华膜水处理有限公司</t>
  </si>
  <si>
    <t>CHLF4-60LSWSC</t>
  </si>
  <si>
    <t>物流送货/湖南省/长沙市/雨花区/桃花塅路德庆水韵山城[8145]/清风[8145]/17284405156</t>
  </si>
  <si>
    <t>杭泵福州办2025-11-26-006</t>
  </si>
  <si>
    <t>江苏华膜环保有限公司</t>
  </si>
  <si>
    <t>CDL8-16FSWPC</t>
  </si>
  <si>
    <t>物流送货/江苏省/宜兴市/高塍镇/环保城2栋17号华膜商城/欧翠霞/19952250630</t>
  </si>
  <si>
    <t>CHL8-40LSWSC</t>
  </si>
  <si>
    <t>备注2：附送货单、加急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</si>
</sst>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6"/>
      <name val="宋体"/>
      <charset val="134"/>
      <scheme val="minor"/>
    </font>
    <font>
      <b/>
      <sz val="16"/>
      <name val="微软雅黑"/>
      <charset val="134"/>
    </font>
    <font>
      <b/>
      <sz val="16"/>
      <color rgb="FFFF0000"/>
      <name val="微软雅黑"/>
      <charset val="134"/>
    </font>
    <font>
      <b/>
      <sz val="16"/>
      <color rgb="FF00B050"/>
      <name val="微软雅黑"/>
      <charset val="134"/>
    </font>
    <font>
      <b/>
      <sz val="16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b/>
      <sz val="16"/>
      <color rgb="FFFF0000"/>
      <name val="宋体"/>
      <charset val="134"/>
      <scheme val="minor"/>
    </font>
    <font>
      <b/>
      <sz val="16"/>
      <color rgb="FF00B0F0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0" borderId="0"/>
    <xf numFmtId="0" fontId="26" fillId="0" borderId="0"/>
    <xf numFmtId="0" fontId="26" fillId="0" borderId="0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31" fontId="5" fillId="0" borderId="1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31" fontId="6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1 10 2" xfId="49"/>
    <cellStyle name="常规 2 2" xfId="50"/>
    <cellStyle name="常规_Sheet1" xfId="51"/>
    <cellStyle name="常规 2 10 2" xfId="52"/>
  </cellStyles>
  <tableStyles count="0" defaultTableStyle="TableStyleMedium2" defaultPivotStyle="PivotStyleLight16"/>
  <colors>
    <mruColors>
      <color rgb="000000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pageSetUpPr fitToPage="1"/>
  </sheetPr>
  <dimension ref="A1:J30"/>
  <sheetViews>
    <sheetView tabSelected="1" zoomScale="85" zoomScaleNormal="85" zoomScaleSheetLayoutView="87" topLeftCell="A13" workbookViewId="0">
      <selection activeCell="G14" sqref="G14"/>
    </sheetView>
  </sheetViews>
  <sheetFormatPr defaultColWidth="9" defaultRowHeight="30" customHeight="1"/>
  <cols>
    <col min="1" max="1" width="18.625" style="1" customWidth="1"/>
    <col min="2" max="2" width="38.125" style="1" customWidth="1"/>
    <col min="3" max="3" width="22.5" style="1" customWidth="1"/>
    <col min="4" max="4" width="55.4333333333333" style="2" customWidth="1"/>
    <col min="5" max="5" width="10.375" style="2" customWidth="1"/>
    <col min="6" max="6" width="9.10833333333333" style="1" customWidth="1"/>
    <col min="7" max="8" width="10.875" style="1" customWidth="1"/>
    <col min="9" max="9" width="23.0833333333333" style="1" customWidth="1"/>
    <col min="10" max="10" width="48.9666666666667" style="1" customWidth="1"/>
    <col min="11" max="16384" width="9" style="1"/>
  </cols>
  <sheetData>
    <row r="1" s="1" customFormat="1" customHeight="1" spans="1:10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</row>
    <row r="2" s="1" customFormat="1" customHeight="1" spans="1:10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</row>
    <row r="3" customHeight="1" spans="1:10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</row>
    <row r="4" customHeight="1" spans="1:10">
      <c r="A4" s="5" t="s">
        <v>12</v>
      </c>
      <c r="B4" s="6" t="s">
        <v>13</v>
      </c>
      <c r="C4" s="7">
        <v>1100213513</v>
      </c>
      <c r="D4" s="7" t="s">
        <v>14</v>
      </c>
      <c r="E4" s="8">
        <v>1079</v>
      </c>
      <c r="F4" s="8">
        <v>1</v>
      </c>
      <c r="G4" s="8">
        <v>2471</v>
      </c>
      <c r="H4" s="9">
        <f>F4*G4</f>
        <v>2471</v>
      </c>
      <c r="I4" s="10"/>
      <c r="J4" s="6" t="s">
        <v>15</v>
      </c>
    </row>
    <row r="5" customHeight="1" spans="1:10">
      <c r="A5" s="6"/>
      <c r="B5" s="6"/>
      <c r="C5" s="7"/>
      <c r="D5" s="7"/>
      <c r="E5" s="8"/>
      <c r="F5" s="8"/>
      <c r="G5" s="8"/>
      <c r="H5" s="9"/>
      <c r="I5" s="10"/>
      <c r="J5" s="11"/>
    </row>
    <row r="6" ht="45" customHeight="1" spans="1:10">
      <c r="A6" s="6"/>
      <c r="B6" s="6"/>
      <c r="C6" s="7"/>
      <c r="D6" s="8"/>
      <c r="E6" s="8"/>
      <c r="F6" s="8"/>
      <c r="G6" s="8"/>
      <c r="H6" s="9"/>
      <c r="I6" s="10"/>
      <c r="J6" s="11"/>
    </row>
    <row r="7" customHeight="1" spans="1:10">
      <c r="A7" s="12"/>
      <c r="B7" s="12"/>
      <c r="C7" s="4"/>
      <c r="D7" s="8"/>
      <c r="E7" s="4"/>
      <c r="F7" s="8">
        <f>SUM(F4:F6)</f>
        <v>1</v>
      </c>
      <c r="G7" s="8"/>
      <c r="H7" s="9">
        <f>SUM(H4:H6)</f>
        <v>2471</v>
      </c>
      <c r="I7" s="13"/>
      <c r="J7" s="11"/>
    </row>
    <row r="8" customHeight="1" spans="1:10">
      <c r="A8" s="14" t="s">
        <v>16</v>
      </c>
      <c r="B8" s="14"/>
      <c r="C8" s="14" t="s">
        <v>17</v>
      </c>
      <c r="D8" s="15" t="s">
        <v>18</v>
      </c>
      <c r="E8" s="15"/>
      <c r="F8" s="15"/>
      <c r="G8" s="15"/>
      <c r="H8" s="15"/>
      <c r="I8" s="15"/>
      <c r="J8" s="4"/>
    </row>
    <row r="9" ht="61" customHeight="1" spans="1:10">
      <c r="A9" s="14"/>
      <c r="B9" s="14"/>
      <c r="C9" s="8" t="s">
        <v>19</v>
      </c>
      <c r="D9" s="15" t="s">
        <v>20</v>
      </c>
      <c r="E9" s="15"/>
      <c r="F9" s="15"/>
      <c r="G9" s="15"/>
      <c r="H9" s="15"/>
      <c r="I9" s="15"/>
      <c r="J9" s="4"/>
    </row>
    <row r="10" customHeight="1" spans="1:10">
      <c r="A10" s="4" t="s">
        <v>2</v>
      </c>
      <c r="B10" s="4" t="s">
        <v>3</v>
      </c>
      <c r="C10" s="4" t="s">
        <v>4</v>
      </c>
      <c r="D10" s="4" t="s">
        <v>5</v>
      </c>
      <c r="E10" s="4" t="s">
        <v>6</v>
      </c>
      <c r="F10" s="4" t="s">
        <v>7</v>
      </c>
      <c r="G10" s="4" t="s">
        <v>8</v>
      </c>
      <c r="H10" s="4" t="s">
        <v>9</v>
      </c>
      <c r="I10" s="4" t="s">
        <v>10</v>
      </c>
      <c r="J10" s="4" t="s">
        <v>11</v>
      </c>
    </row>
    <row r="11" customHeight="1" spans="1:10">
      <c r="A11" s="5" t="s">
        <v>21</v>
      </c>
      <c r="B11" s="6" t="s">
        <v>22</v>
      </c>
      <c r="C11" s="7">
        <v>1100284813</v>
      </c>
      <c r="D11" s="7" t="s">
        <v>23</v>
      </c>
      <c r="E11" s="8">
        <v>3900</v>
      </c>
      <c r="F11" s="8">
        <v>1</v>
      </c>
      <c r="G11" s="8">
        <v>1430</v>
      </c>
      <c r="H11" s="9">
        <f>F11*G11</f>
        <v>1430</v>
      </c>
      <c r="I11" s="10">
        <v>45990</v>
      </c>
      <c r="J11" s="6" t="s">
        <v>24</v>
      </c>
    </row>
    <row r="12" customHeight="1" spans="1:10">
      <c r="A12" s="6"/>
      <c r="B12" s="6"/>
      <c r="C12" s="7">
        <v>1100284939</v>
      </c>
      <c r="D12" s="7" t="s">
        <v>25</v>
      </c>
      <c r="E12" s="8">
        <v>3900</v>
      </c>
      <c r="F12" s="8">
        <v>1</v>
      </c>
      <c r="G12" s="8">
        <v>1477</v>
      </c>
      <c r="H12" s="9">
        <f>F12*G12</f>
        <v>1477</v>
      </c>
      <c r="I12" s="10">
        <v>45990</v>
      </c>
      <c r="J12" s="11"/>
    </row>
    <row r="13" customHeight="1" spans="1:10">
      <c r="A13" s="6"/>
      <c r="B13" s="6"/>
      <c r="C13" s="7"/>
      <c r="D13" s="8"/>
      <c r="E13" s="8"/>
      <c r="F13" s="8"/>
      <c r="G13" s="8"/>
      <c r="H13" s="9"/>
      <c r="I13" s="10"/>
      <c r="J13" s="11"/>
    </row>
    <row r="14" customHeight="1" spans="1:10">
      <c r="A14" s="12"/>
      <c r="B14" s="12"/>
      <c r="C14" s="4"/>
      <c r="D14" s="8"/>
      <c r="E14" s="4"/>
      <c r="F14" s="8">
        <f>SUM(F11:F13)</f>
        <v>2</v>
      </c>
      <c r="G14" s="8"/>
      <c r="H14" s="9">
        <f>SUM(H11:H13)</f>
        <v>2907</v>
      </c>
      <c r="I14" s="13"/>
      <c r="J14" s="11"/>
    </row>
    <row r="15" customHeight="1" spans="1:10">
      <c r="A15" s="14" t="s">
        <v>16</v>
      </c>
      <c r="B15" s="14"/>
      <c r="C15" s="14" t="s">
        <v>17</v>
      </c>
      <c r="D15" s="15" t="s">
        <v>18</v>
      </c>
      <c r="E15" s="15"/>
      <c r="F15" s="15"/>
      <c r="G15" s="15"/>
      <c r="H15" s="15"/>
      <c r="I15" s="15"/>
      <c r="J15" s="4"/>
    </row>
    <row r="16" customHeight="1" spans="1:10">
      <c r="A16" s="14"/>
      <c r="B16" s="14"/>
      <c r="C16" s="8" t="s">
        <v>19</v>
      </c>
      <c r="D16" s="15" t="s">
        <v>26</v>
      </c>
      <c r="E16" s="15"/>
      <c r="F16" s="15"/>
      <c r="G16" s="15"/>
      <c r="H16" s="15"/>
      <c r="I16" s="15"/>
      <c r="J16" s="4"/>
    </row>
    <row r="17" customHeight="1" spans="1:10">
      <c r="A17" s="4" t="s">
        <v>2</v>
      </c>
      <c r="B17" s="4" t="s">
        <v>3</v>
      </c>
      <c r="C17" s="4" t="s">
        <v>4</v>
      </c>
      <c r="D17" s="4" t="s">
        <v>5</v>
      </c>
      <c r="E17" s="4" t="s">
        <v>6</v>
      </c>
      <c r="F17" s="4" t="s">
        <v>7</v>
      </c>
      <c r="G17" s="4" t="s">
        <v>8</v>
      </c>
      <c r="H17" s="4" t="s">
        <v>9</v>
      </c>
      <c r="I17" s="4" t="s">
        <v>10</v>
      </c>
      <c r="J17" s="4" t="s">
        <v>11</v>
      </c>
    </row>
    <row r="18" customHeight="1" spans="1:10">
      <c r="A18" s="5" t="s">
        <v>27</v>
      </c>
      <c r="B18" s="6" t="s">
        <v>28</v>
      </c>
      <c r="C18" s="7">
        <v>1100284951</v>
      </c>
      <c r="D18" s="7" t="s">
        <v>29</v>
      </c>
      <c r="E18" s="8">
        <v>3900</v>
      </c>
      <c r="F18" s="8">
        <v>2</v>
      </c>
      <c r="G18" s="8">
        <v>773</v>
      </c>
      <c r="H18" s="9">
        <f>F18*G18</f>
        <v>1546</v>
      </c>
      <c r="I18" s="10"/>
      <c r="J18" s="6" t="s">
        <v>30</v>
      </c>
    </row>
    <row r="19" customHeight="1" spans="1:10">
      <c r="A19" s="6"/>
      <c r="B19" s="6"/>
      <c r="C19" s="7"/>
      <c r="D19" s="7"/>
      <c r="E19" s="8"/>
      <c r="F19" s="8"/>
      <c r="G19" s="8"/>
      <c r="H19" s="9"/>
      <c r="I19" s="10"/>
      <c r="J19" s="11"/>
    </row>
    <row r="20" customHeight="1" spans="1:10">
      <c r="A20" s="6"/>
      <c r="B20" s="6"/>
      <c r="C20" s="7"/>
      <c r="D20" s="8"/>
      <c r="E20" s="8"/>
      <c r="F20" s="8"/>
      <c r="G20" s="8"/>
      <c r="H20" s="9"/>
      <c r="I20" s="10"/>
      <c r="J20" s="11"/>
    </row>
    <row r="21" customHeight="1" spans="1:10">
      <c r="A21" s="12"/>
      <c r="B21" s="12"/>
      <c r="C21" s="4"/>
      <c r="D21" s="8"/>
      <c r="E21" s="4"/>
      <c r="F21" s="8">
        <f>SUM(F18:F20)</f>
        <v>2</v>
      </c>
      <c r="G21" s="8"/>
      <c r="H21" s="9">
        <f>SUM(H18:H20)</f>
        <v>1546</v>
      </c>
      <c r="I21" s="13"/>
      <c r="J21" s="11"/>
    </row>
    <row r="22" customHeight="1" spans="1:10">
      <c r="A22" s="14" t="s">
        <v>16</v>
      </c>
      <c r="B22" s="14"/>
      <c r="C22" s="14" t="s">
        <v>17</v>
      </c>
      <c r="D22" s="15" t="s">
        <v>18</v>
      </c>
      <c r="E22" s="15"/>
      <c r="F22" s="15"/>
      <c r="G22" s="15"/>
      <c r="H22" s="15"/>
      <c r="I22" s="15"/>
      <c r="J22" s="4"/>
    </row>
    <row r="23" customHeight="1" spans="1:10">
      <c r="A23" s="14"/>
      <c r="B23" s="14"/>
      <c r="C23" s="8" t="s">
        <v>19</v>
      </c>
      <c r="D23" s="15" t="s">
        <v>20</v>
      </c>
      <c r="E23" s="15"/>
      <c r="F23" s="15"/>
      <c r="G23" s="15"/>
      <c r="H23" s="15"/>
      <c r="I23" s="15"/>
      <c r="J23" s="4"/>
    </row>
    <row r="24" customHeight="1" spans="1:10">
      <c r="A24" s="4" t="s">
        <v>2</v>
      </c>
      <c r="B24" s="4" t="s">
        <v>3</v>
      </c>
      <c r="C24" s="4" t="s">
        <v>4</v>
      </c>
      <c r="D24" s="4" t="s">
        <v>5</v>
      </c>
      <c r="E24" s="4" t="s">
        <v>6</v>
      </c>
      <c r="F24" s="4" t="s">
        <v>7</v>
      </c>
      <c r="G24" s="4" t="s">
        <v>8</v>
      </c>
      <c r="H24" s="4" t="s">
        <v>9</v>
      </c>
      <c r="I24" s="4" t="s">
        <v>10</v>
      </c>
      <c r="J24" s="4" t="s">
        <v>11</v>
      </c>
    </row>
    <row r="25" customHeight="1" spans="1:10">
      <c r="A25" s="5" t="s">
        <v>31</v>
      </c>
      <c r="B25" s="6" t="s">
        <v>32</v>
      </c>
      <c r="C25" s="7">
        <v>1100139896</v>
      </c>
      <c r="D25" s="7" t="s">
        <v>33</v>
      </c>
      <c r="E25" s="8">
        <v>3900</v>
      </c>
      <c r="F25" s="8">
        <v>1</v>
      </c>
      <c r="G25" s="8">
        <v>3278</v>
      </c>
      <c r="H25" s="9">
        <f>F25*G25</f>
        <v>3278</v>
      </c>
      <c r="I25" s="10"/>
      <c r="J25" s="6" t="s">
        <v>34</v>
      </c>
    </row>
    <row r="26" customHeight="1" spans="1:10">
      <c r="A26" s="6"/>
      <c r="B26" s="6"/>
      <c r="C26" s="7">
        <v>1100284814</v>
      </c>
      <c r="D26" s="7" t="s">
        <v>35</v>
      </c>
      <c r="E26" s="8">
        <v>3900</v>
      </c>
      <c r="F26" s="8">
        <v>1</v>
      </c>
      <c r="G26" s="8">
        <v>1186</v>
      </c>
      <c r="H26" s="9">
        <f>F26*G26</f>
        <v>1186</v>
      </c>
      <c r="I26" s="10"/>
      <c r="J26" s="11"/>
    </row>
    <row r="27" customHeight="1" spans="1:10">
      <c r="A27" s="6"/>
      <c r="B27" s="6"/>
      <c r="C27" s="7"/>
      <c r="D27" s="8"/>
      <c r="E27" s="8"/>
      <c r="F27" s="8"/>
      <c r="G27" s="8"/>
      <c r="H27" s="9"/>
      <c r="I27" s="10"/>
      <c r="J27" s="11"/>
    </row>
    <row r="28" customHeight="1" spans="1:10">
      <c r="A28" s="12"/>
      <c r="B28" s="12"/>
      <c r="C28" s="4"/>
      <c r="D28" s="8"/>
      <c r="E28" s="4"/>
      <c r="F28" s="8">
        <f>SUM(F25:F27)</f>
        <v>2</v>
      </c>
      <c r="G28" s="8"/>
      <c r="H28" s="9">
        <f>SUM(H25:H27)</f>
        <v>4464</v>
      </c>
      <c r="I28" s="13"/>
      <c r="J28" s="11"/>
    </row>
    <row r="29" customHeight="1" spans="1:10">
      <c r="A29" s="14" t="s">
        <v>16</v>
      </c>
      <c r="B29" s="14"/>
      <c r="C29" s="14" t="s">
        <v>17</v>
      </c>
      <c r="D29" s="15" t="s">
        <v>18</v>
      </c>
      <c r="E29" s="15"/>
      <c r="F29" s="15"/>
      <c r="G29" s="15"/>
      <c r="H29" s="15"/>
      <c r="I29" s="15"/>
      <c r="J29" s="4"/>
    </row>
    <row r="30" customHeight="1" spans="1:10">
      <c r="A30" s="14"/>
      <c r="B30" s="14"/>
      <c r="C30" s="8" t="s">
        <v>19</v>
      </c>
      <c r="D30" s="15" t="s">
        <v>36</v>
      </c>
      <c r="E30" s="15"/>
      <c r="F30" s="15"/>
      <c r="G30" s="15"/>
      <c r="H30" s="15"/>
      <c r="I30" s="15"/>
      <c r="J30" s="4"/>
    </row>
  </sheetData>
  <mergeCells count="30">
    <mergeCell ref="A1:J1"/>
    <mergeCell ref="A2:J2"/>
    <mergeCell ref="D8:I8"/>
    <mergeCell ref="D9:I9"/>
    <mergeCell ref="D15:I15"/>
    <mergeCell ref="D16:I16"/>
    <mergeCell ref="D22:I22"/>
    <mergeCell ref="D23:I23"/>
    <mergeCell ref="D29:I29"/>
    <mergeCell ref="D30:I30"/>
    <mergeCell ref="A4:A7"/>
    <mergeCell ref="A11:A14"/>
    <mergeCell ref="A18:A21"/>
    <mergeCell ref="A25:A28"/>
    <mergeCell ref="B4:B7"/>
    <mergeCell ref="B11:B14"/>
    <mergeCell ref="B18:B21"/>
    <mergeCell ref="B25:B28"/>
    <mergeCell ref="J4:J7"/>
    <mergeCell ref="J8:J9"/>
    <mergeCell ref="J11:J14"/>
    <mergeCell ref="J15:J16"/>
    <mergeCell ref="J18:J21"/>
    <mergeCell ref="J22:J23"/>
    <mergeCell ref="J25:J28"/>
    <mergeCell ref="J29:J30"/>
    <mergeCell ref="A8:B9"/>
    <mergeCell ref="A15:B16"/>
    <mergeCell ref="A22:B23"/>
    <mergeCell ref="A29:B30"/>
  </mergeCells>
  <printOptions horizontalCentered="1"/>
  <pageMargins left="0.156944444444444" right="0.156944444444444" top="0.236111111111111" bottom="0.275" header="0.156944444444444" footer="0.196527777777778"/>
  <pageSetup paperSize="9" scale="63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粕厥笛贾承</cp:lastModifiedBy>
  <dcterms:created xsi:type="dcterms:W3CDTF">2018-09-03T08:22:00Z</dcterms:created>
  <dcterms:modified xsi:type="dcterms:W3CDTF">2025-11-26T03:12:30Z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KSOReadingLayout">
    <vt:bool>true</vt:bool>
  </property>
  <property fmtid="{D5CDD505-2E9C-101B-9397-08002B2CF9AE}" pid="4" name="ICV">
    <vt:lpwstr>B9299904C93240AE92A2F18CFDA1F070_13</vt:lpwstr>
  </property>
</Properties>
</file>