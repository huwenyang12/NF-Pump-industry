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<sst xmlns="http://schemas.openxmlformats.org/spreadsheetml/2006/main" count="41" uniqueCount="26">
  <si>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杭泵湖州办20251102601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</si>
  <si>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***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</si>
  <si>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</si>
  <si>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</si>
  <si>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</si>
  <si>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</si>
  <si>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</si>
  <si>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</si>
  <si>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</si>
  <si>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</si>
  <si>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</si>
  <si>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</si>
  <si>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杭泵湖州办2025-11-26-01</t>
  </si>
  <si>
    <t>杭州万洁水处理设备有限公司</t>
  </si>
  <si>
    <t>CDLF4-14FSWSC</t>
  </si>
  <si>
    <t>送货/浙江省/杭州市/余杭区仁和街道临港路11-1/李荣芳/18968075854</t>
  </si>
  <si>
    <t>合同号：H*****</t>
  </si>
  <si>
    <t>是否安装调试验收</t>
  </si>
  <si>
    <t>备注1：</t>
  </si>
  <si>
    <t>N</t>
  </si>
  <si>
    <t>备注2：附发货清单</t>
  </si>
  <si>
    <t>杭泵湖州办2025-11-26-02</t>
  </si>
  <si>
    <t xml:space="preserve">杭州南恒流体机械有限公司 </t>
  </si>
  <si>
    <t>CDL4-14FSWPC</t>
  </si>
  <si>
    <t>送货/杭州市/余杭区/仁和街道新桥村西埭14号/ 施晓康/15869171710</t>
  </si>
  <si>
    <t>CDL4-12FSWPC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</si>
</sst>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9"/>
      <color rgb="FF000000"/>
      <name val="simhei"/>
      <charset val="134"/>
    </font>
    <font>
      <b/>
      <sz val="11"/>
      <color theme="1"/>
      <name val="楷体"/>
      <charset val="134"/>
    </font>
    <font>
      <sz val="12"/>
      <color rgb="FF00B050"/>
      <name val="微软雅黑"/>
      <charset val="134"/>
    </font>
    <font>
      <sz val="11"/>
      <color indexed="8"/>
      <name val="SimSun"/>
      <charset val="134"/>
    </font>
    <font>
      <sz val="12"/>
      <color rgb="FF000000"/>
      <name val="宋体"/>
      <charset val="134"/>
    </font>
    <font>
      <sz val="12"/>
      <color theme="1"/>
      <name val="微软雅黑"/>
      <charset val="134"/>
    </font>
    <font>
      <sz val="10"/>
      <color rgb="FF000000"/>
      <name val="simhei"/>
      <charset val="134"/>
    </font>
    <font>
      <b/>
      <sz val="10"/>
      <color theme="1"/>
      <name val="楷体"/>
      <charset val="134"/>
    </font>
    <font>
      <sz val="10"/>
      <color rgb="FF00B050"/>
      <name val="微软雅黑"/>
      <charset val="134"/>
    </font>
    <font>
      <sz val="10"/>
      <color indexed="8"/>
      <name val="SimSun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rgb="FFDAFFFA"/>
        <bgColor rgb="FFDAFFFA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31" fontId="8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1" fontId="11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31" fontId="8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5" fillId="4" borderId="1" xfId="0" applyFont="1" applyFill="1" applyBorder="1" applyAlignment="1">
      <alignment horizontal="left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2:J17"/>
  <sheetViews>
    <sheetView tabSelected="1" zoomScaleSheetLayoutView="87" workbookViewId="0">
      <selection activeCell="A1" sqref="A1:J17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2" customHeight="1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customHeight="1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Height="1" spans="1:10">
      <c r="A5" s="6" t="s">
        <v>12</v>
      </c>
      <c r="B5" s="7" t="s">
        <v>13</v>
      </c>
      <c r="C5" s="8">
        <v>1100142576</v>
      </c>
      <c r="D5" s="9" t="s">
        <v>14</v>
      </c>
      <c r="E5" s="10">
        <v>3900</v>
      </c>
      <c r="F5" s="11">
        <v>1</v>
      </c>
      <c r="G5" s="12">
        <v>1707</v>
      </c>
      <c r="H5" s="13">
        <f>F5*G5</f>
        <v>1707</v>
      </c>
      <c r="I5" s="14">
        <v>45987</v>
      </c>
      <c r="J5" s="15" t="s">
        <v>15</v>
      </c>
    </row>
    <row r="6" customHeight="1" spans="1:10">
      <c r="A6" s="6"/>
      <c r="B6" s="7"/>
      <c r="C6" s="16"/>
      <c r="D6" s="17"/>
      <c r="E6" s="10"/>
      <c r="F6" s="18"/>
      <c r="G6" s="17"/>
      <c r="H6" s="13"/>
      <c r="I6" s="14"/>
      <c r="J6" s="15"/>
    </row>
    <row r="7" customHeight="1" spans="1:10">
      <c r="A7" s="6"/>
      <c r="B7" s="7"/>
      <c r="C7" s="19"/>
      <c r="D7" s="16"/>
      <c r="E7" s="20"/>
      <c r="F7" s="21"/>
      <c r="G7" s="21"/>
      <c r="H7" s="13"/>
      <c r="I7" s="22"/>
      <c r="J7" s="15"/>
    </row>
    <row r="8" customHeight="1" spans="1:10">
      <c r="A8" s="23"/>
      <c r="B8" s="24"/>
      <c r="C8" s="25"/>
      <c r="D8" s="25"/>
      <c r="E8" s="25"/>
      <c r="F8" s="26">
        <f>SUM(F5:F7)</f>
        <v>1</v>
      </c>
      <c r="G8" s="26"/>
      <c r="H8" s="27">
        <f>SUM(H5:H7)</f>
        <v>1707</v>
      </c>
      <c r="I8" s="22"/>
      <c r="J8" s="15"/>
    </row>
    <row r="9" customHeight="1" spans="1:10">
      <c r="A9" s="28" t="s">
        <v>16</v>
      </c>
      <c r="B9" s="28"/>
      <c r="C9" s="28" t="s">
        <v>17</v>
      </c>
      <c r="D9" s="19" t="s">
        <v>18</v>
      </c>
      <c r="E9" s="19"/>
      <c r="F9" s="19"/>
      <c r="G9" s="19"/>
      <c r="H9" s="19"/>
      <c r="I9" s="19"/>
      <c r="J9" s="5"/>
    </row>
    <row r="10" customHeight="1" spans="1:10">
      <c r="A10" s="28"/>
      <c r="B10" s="28"/>
      <c r="C10" s="29" t="s">
        <v>19</v>
      </c>
      <c r="D10" s="28" t="s">
        <v>20</v>
      </c>
      <c r="E10" s="28"/>
      <c r="F10" s="28"/>
      <c r="G10" s="28"/>
      <c r="H10" s="28"/>
      <c r="I10" s="28"/>
      <c r="J10" s="5"/>
    </row>
    <row r="11" customHeight="1" spans="1:10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5" t="s">
        <v>11</v>
      </c>
    </row>
    <row r="12" customHeight="1" spans="1:10">
      <c r="A12" s="6" t="s">
        <v>21</v>
      </c>
      <c r="B12" s="7" t="s">
        <v>22</v>
      </c>
      <c r="C12" s="30">
        <v>1100143944</v>
      </c>
      <c r="D12" s="31" t="s">
        <v>23</v>
      </c>
      <c r="E12" s="32">
        <v>3900</v>
      </c>
      <c r="F12" s="33">
        <v>1</v>
      </c>
      <c r="G12" s="34">
        <v>1517</v>
      </c>
      <c r="H12" s="35">
        <f>F12*G12</f>
        <v>1517</v>
      </c>
      <c r="I12" s="36">
        <v>45991</v>
      </c>
      <c r="J12" s="15" t="s">
        <v>24</v>
      </c>
    </row>
    <row r="13" customHeight="1" spans="1:10">
      <c r="A13" s="6"/>
      <c r="B13" s="7"/>
      <c r="C13" s="37">
        <v>1100143943</v>
      </c>
      <c r="D13" s="31" t="s">
        <v>25</v>
      </c>
      <c r="E13" s="32">
        <v>3900</v>
      </c>
      <c r="F13" s="33">
        <v>1</v>
      </c>
      <c r="G13" s="38">
        <v>1296</v>
      </c>
      <c r="H13" s="35">
        <f>F13*G13</f>
        <v>1296</v>
      </c>
      <c r="I13" s="36">
        <v>45991</v>
      </c>
      <c r="J13" s="15"/>
    </row>
    <row r="14" customHeight="1" spans="1:10">
      <c r="A14" s="6"/>
      <c r="B14" s="7"/>
      <c r="C14" s="19"/>
      <c r="D14" s="16"/>
      <c r="E14" s="20"/>
      <c r="F14" s="21"/>
      <c r="G14" s="21"/>
      <c r="H14" s="13"/>
      <c r="I14" s="22"/>
      <c r="J14" s="15"/>
    </row>
    <row r="15" customHeight="1" spans="1:10">
      <c r="A15" s="23"/>
      <c r="B15" s="24"/>
      <c r="C15" s="25"/>
      <c r="D15" s="25"/>
      <c r="E15" s="25"/>
      <c r="F15" s="26">
        <f>SUM(F12:F14)</f>
        <v>2</v>
      </c>
      <c r="G15" s="26"/>
      <c r="H15" s="27">
        <f>SUM(H12:H14)</f>
        <v>2813</v>
      </c>
      <c r="I15" s="22"/>
      <c r="J15" s="15"/>
    </row>
    <row r="16" customHeight="1" spans="1:10">
      <c r="A16" s="28" t="s">
        <v>16</v>
      </c>
      <c r="B16" s="28"/>
      <c r="C16" s="28" t="s">
        <v>17</v>
      </c>
      <c r="D16" s="19" t="s">
        <v>18</v>
      </c>
      <c r="E16" s="19"/>
      <c r="F16" s="19"/>
      <c r="G16" s="19"/>
      <c r="H16" s="19"/>
      <c r="I16" s="19"/>
      <c r="J16" s="5"/>
    </row>
    <row r="17" customHeight="1" spans="1:10">
      <c r="A17" s="28"/>
      <c r="B17" s="28"/>
      <c r="C17" s="29" t="s">
        <v>19</v>
      </c>
      <c r="D17" s="28" t="s">
        <v>20</v>
      </c>
      <c r="E17" s="28"/>
      <c r="F17" s="28"/>
      <c r="G17" s="28"/>
      <c r="H17" s="28"/>
      <c r="I17" s="28"/>
      <c r="J17" s="5"/>
    </row>
  </sheetData>
  <mergeCells count="16">
    <mergeCell ref="A2:J2"/>
    <mergeCell ref="A3:J3"/>
    <mergeCell ref="D9:I9"/>
    <mergeCell ref="D10:I10"/>
    <mergeCell ref="D16:I16"/>
    <mergeCell ref="D17:I17"/>
    <mergeCell ref="A5:A8"/>
    <mergeCell ref="A12:A15"/>
    <mergeCell ref="B5:B8"/>
    <mergeCell ref="B12:B15"/>
    <mergeCell ref="J5:J8"/>
    <mergeCell ref="J9:J10"/>
    <mergeCell ref="J12:J15"/>
    <mergeCell ref="J16:J17"/>
    <mergeCell ref="A9:B10"/>
    <mergeCell ref="A16:B17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刘金辉</cp:lastModifiedBy>
  <dcterms:created xsi:type="dcterms:W3CDTF">2018-09-03T08:22:00Z</dcterms:created>
  <dcterms:modified xsi:type="dcterms:W3CDTF">2025-11-26T01:51:24Z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