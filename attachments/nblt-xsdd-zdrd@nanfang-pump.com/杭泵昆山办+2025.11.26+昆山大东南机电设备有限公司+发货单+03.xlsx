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<sst xmlns="http://schemas.openxmlformats.org/spreadsheetml/2006/main" count="24" uniqueCount="24">
  <si>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202511月26日订单    杭泵昆山办2025112603</t>
    </r>
  </si>
  <si>
    <r>
      <rPr>
        <b/>
        <sz val="18"/>
        <rFont val="宋体"/>
        <charset val="134"/>
        <scheme val="minor"/>
      </rPr>
      <t>发件人：</t>
    </r>
    <r>
      <rPr>
        <b/>
        <sz val="18"/>
        <color rgb="FFFF0000"/>
        <rFont val="宋体"/>
        <charset val="134"/>
        <scheme val="minor"/>
      </rPr>
      <t xml:space="preserve">张亚菲 </t>
    </r>
    <r>
      <rPr>
        <b/>
        <sz val="18"/>
        <rFont val="宋体"/>
        <charset val="134"/>
        <scheme val="minor"/>
      </rPr>
      <t xml:space="preserve"> 联系电话：</t>
    </r>
    <r>
      <rPr>
        <b/>
        <sz val="18"/>
        <color rgb="FFFF0000"/>
        <rFont val="宋体"/>
        <charset val="134"/>
        <scheme val="minor"/>
      </rPr>
      <t>18710512629</t>
    </r>
    <r>
      <rPr>
        <b/>
        <sz val="18"/>
        <rFont val="宋体"/>
        <charset val="134"/>
        <scheme val="minor"/>
      </rPr>
      <t xml:space="preserve">  收件工厂：</t>
    </r>
    <r>
      <rPr>
        <b/>
        <sz val="18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</si>
  <si>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</si>
  <si>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</si>
  <si>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</si>
  <si>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</si>
  <si>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</si>
  <si>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</si>
  <si>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</si>
  <si>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</si>
  <si>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</si>
  <si>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</si>
  <si>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杭泵昆山办25112603</t>
  </si>
  <si>
    <t>昆山大东南机电设备有限公司</t>
  </si>
  <si>
    <t>卧式泵|CHL2-30LSWSC|IE3|LT</t>
  </si>
  <si>
    <t>送货/江苏省/昆山市/昆山开发区朝阳东路109号亿丰机电城A119号/胡新/15850300674</t>
  </si>
  <si>
    <t>卧式泵|CHL2-40LDWSC|LT</t>
  </si>
  <si>
    <t>卧式泵|CHL2-50LSWSC|IE3|LT</t>
  </si>
  <si>
    <t>卧式泵|CHL2-40LSWSC|IE3|LT</t>
  </si>
  <si>
    <t>合同号：H*****</t>
  </si>
  <si>
    <t>是否安装调试验收</t>
  </si>
  <si>
    <t>备注1：</t>
  </si>
  <si>
    <t>N</t>
  </si>
  <si>
    <r>
      <rPr>
        <sz val="18"/>
        <rFont val="微软雅黑"/>
        <charset val="134"/>
      </rPr>
      <t>备注2：</t>
    </r>
    <r>
      <rPr>
        <sz val="18"/>
        <color rgb="FFFF0000"/>
        <rFont val="微软雅黑"/>
        <charset val="134"/>
      </rPr>
      <t>附送货单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</si>
</sst>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8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8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1" fontId="7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view="pageBreakPreview" zoomScale="80" zoomScaleNormal="100" workbookViewId="0">
      <selection activeCell="D15" sqref="D15"/>
    </sheetView>
  </sheetViews>
  <sheetFormatPr defaultColWidth="9" defaultRowHeight="30" customHeight="1"/>
  <cols>
    <col min="1" max="1" width="29.6666666666667" style="3" customWidth="1"/>
    <col min="2" max="2" width="32.4416666666667" style="3" customWidth="1"/>
    <col min="3" max="3" width="33.125" style="3" customWidth="1"/>
    <col min="4" max="4" width="57.775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8.7416666666667" style="3" customWidth="1"/>
    <col min="10" max="10" width="35.775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1100284959</v>
      </c>
      <c r="D4" s="11" t="s">
        <v>14</v>
      </c>
      <c r="E4" s="12">
        <v>3900</v>
      </c>
      <c r="F4" s="11">
        <v>4</v>
      </c>
      <c r="G4" s="11">
        <v>541</v>
      </c>
      <c r="H4" s="13">
        <f>F4*G4</f>
        <v>2164</v>
      </c>
      <c r="I4" s="14">
        <v>45990</v>
      </c>
      <c r="J4" s="9" t="s">
        <v>15</v>
      </c>
    </row>
    <row r="5" s="1" customFormat="1" ht="27" customHeight="1" spans="1:10">
      <c r="A5" s="8"/>
      <c r="B5" s="9"/>
      <c r="C5" s="10">
        <v>1100143614</v>
      </c>
      <c r="D5" s="11" t="s">
        <v>16</v>
      </c>
      <c r="E5" s="12">
        <v>3900</v>
      </c>
      <c r="F5" s="11">
        <v>2</v>
      </c>
      <c r="G5" s="11">
        <v>678</v>
      </c>
      <c r="H5" s="13">
        <f>F5*G5</f>
        <v>1356</v>
      </c>
      <c r="I5" s="14">
        <v>45990</v>
      </c>
      <c r="J5" s="9"/>
    </row>
    <row r="6" s="1" customFormat="1" ht="27" customHeight="1" spans="1:10">
      <c r="A6" s="8"/>
      <c r="B6" s="9"/>
      <c r="C6" s="10">
        <v>1100284982</v>
      </c>
      <c r="D6" s="11" t="s">
        <v>17</v>
      </c>
      <c r="E6" s="12">
        <v>3900</v>
      </c>
      <c r="F6" s="11">
        <v>2</v>
      </c>
      <c r="G6" s="11">
        <v>765</v>
      </c>
      <c r="H6" s="13">
        <f>F6*G6</f>
        <v>1530</v>
      </c>
      <c r="I6" s="14">
        <v>45990</v>
      </c>
      <c r="J6" s="9"/>
    </row>
    <row r="7" s="1" customFormat="1" ht="34.95" customHeight="1" spans="1:10">
      <c r="A7" s="8"/>
      <c r="B7" s="9"/>
      <c r="C7" s="10">
        <v>1100284937</v>
      </c>
      <c r="D7" s="11" t="s">
        <v>18</v>
      </c>
      <c r="E7" s="12">
        <v>3900</v>
      </c>
      <c r="F7" s="11">
        <v>3</v>
      </c>
      <c r="G7" s="11">
        <v>636</v>
      </c>
      <c r="H7" s="13">
        <f>F7*G7</f>
        <v>1908</v>
      </c>
      <c r="I7" s="14">
        <v>45990</v>
      </c>
      <c r="J7" s="9"/>
    </row>
    <row r="8" s="1" customFormat="1" ht="34.95" customHeight="1" spans="1:10">
      <c r="A8" s="15"/>
      <c r="B8" s="16"/>
      <c r="C8" s="17"/>
      <c r="D8" s="17"/>
      <c r="E8" s="17"/>
      <c r="F8" s="10">
        <f>SUM(F4:F7)</f>
        <v>11</v>
      </c>
      <c r="G8" s="10"/>
      <c r="H8" s="13">
        <f>SUM(H4:H7)</f>
        <v>6958</v>
      </c>
      <c r="I8" s="18"/>
      <c r="J8" s="16"/>
    </row>
    <row r="9" s="2" customFormat="1" ht="37.05" customHeight="1" spans="1:10">
      <c r="A9" s="19" t="s">
        <v>19</v>
      </c>
      <c r="B9" s="19"/>
      <c r="C9" s="19" t="s">
        <v>20</v>
      </c>
      <c r="D9" s="19" t="s">
        <v>21</v>
      </c>
      <c r="E9" s="19"/>
      <c r="F9" s="19"/>
      <c r="G9" s="19"/>
      <c r="H9" s="19"/>
      <c r="I9" s="19"/>
      <c r="J9" s="17"/>
    </row>
    <row r="10" s="2" customFormat="1" ht="33" customHeight="1" spans="1:10">
      <c r="A10" s="19"/>
      <c r="B10" s="19"/>
      <c r="C10" s="10" t="s">
        <v>22</v>
      </c>
      <c r="D10" s="19" t="s">
        <v>23</v>
      </c>
      <c r="E10" s="19"/>
      <c r="F10" s="19"/>
      <c r="G10" s="19"/>
      <c r="H10" s="19"/>
      <c r="I10" s="19"/>
      <c r="J10" s="17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751388888888889" right="0.751388888888889" top="1" bottom="1" header="0.511805555555556" footer="0.511805555555556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自律虎</cp:lastModifiedBy>
  <dcterms:created xsi:type="dcterms:W3CDTF">2018-09-03T08:22:00Z</dcterms:created>
  <dcterms:modified xsi:type="dcterms:W3CDTF">2025-11-26T04:48:23Z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